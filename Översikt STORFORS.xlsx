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46304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46304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37716-2025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45881</v>
      </c>
      <c r="E5" s="1" t="n">
        <v>46304</v>
      </c>
      <c r="F5" t="inlineStr">
        <is>
          <t>VÄRMLANDS LÄN</t>
        </is>
      </c>
      <c r="G5" t="inlineStr">
        <is>
          <t>STORFORS</t>
        </is>
      </c>
      <c r="I5" t="n">
        <v>4.5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Ullticka</t>
        </is>
      </c>
      <c r="W5">
        <f>HYPERLINK("https://klasma.github.io/Logging_1760/artfynd/A 37716-2025 artfynd.xlsx", "A 37716-2025")</f>
        <v/>
      </c>
      <c r="X5">
        <f>HYPERLINK("https://klasma.github.io/Logging_1760/kartor/A 37716-2025 karta.png", "A 37716-2025")</f>
        <v/>
      </c>
      <c r="Y5">
        <f>HYPERLINK("https://klasma.github.io/Logging_1760/kartor_geotiff/A 37716-2025 georefererad karta.tif", "A 37716-2025")</f>
        <v/>
      </c>
      <c r="AA5">
        <f>HYPERLINK("https://klasma.github.io/Logging_1760/klagomål/A 37716-2025 FSC-klagomål.docx", "A 37716-2025")</f>
        <v/>
      </c>
      <c r="AB5">
        <f>HYPERLINK("https://klasma.github.io/Logging_1760/klagomålsmail/A 37716-2025 FSC-klagomål mail.docx", "A 37716-2025")</f>
        <v/>
      </c>
      <c r="AC5">
        <f>HYPERLINK("https://klasma.github.io/Logging_1760/tillsyn/A 37716-2025 tillsynsbegäran.docx", "A 37716-2025")</f>
        <v/>
      </c>
      <c r="AD5">
        <f>HYPERLINK("https://klasma.github.io/Logging_1760/tillsynsmail/A 37716-2025 tillsynsbegäran mail.docx", "A 37716-2025")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46304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46376-2023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45197</v>
      </c>
      <c r="E7" s="1" t="n">
        <v>46304</v>
      </c>
      <c r="F7" t="inlineStr">
        <is>
          <t>VÄRMLANDS LÄN</t>
        </is>
      </c>
      <c r="G7" t="inlineStr">
        <is>
          <t>STORFORS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HYPERLINK("https://klasma.github.io/Logging_1760/artfynd/A 46376-2023 artfynd.xlsx", "A 46376-2023")</f>
        <v/>
      </c>
      <c r="X7">
        <f>HYPERLINK("https://klasma.github.io/Logging_1760/kartor/A 46376-2023 karta.png", "A 46376-2023")</f>
        <v/>
      </c>
      <c r="Y7">
        <f>HYPERLINK("https://klasma.github.io/Logging_1760/kartor_geotiff/A 46376-2023 georefererad karta.tif", "A 46376-2023")</f>
        <v/>
      </c>
      <c r="AA7">
        <f>HYPERLINK("https://klasma.github.io/Logging_1760/klagomål/A 46376-2023 FSC-klagomål.docx", "A 46376-2023")</f>
        <v/>
      </c>
      <c r="AB7">
        <f>HYPERLINK("https://klasma.github.io/Logging_1760/klagomålsmail/A 46376-2023 FSC-klagomål mail.docx", "A 46376-2023")</f>
        <v/>
      </c>
      <c r="AC7">
        <f>HYPERLINK("https://klasma.github.io/Logging_1760/tillsyn/A 46376-2023 tillsynsbegäran.docx", "A 46376-2023")</f>
        <v/>
      </c>
      <c r="AD7">
        <f>HYPERLINK("https://klasma.github.io/Logging_1760/tillsynsmail/A 46376-2023 tillsynsbegäran mail.docx", "A 46376-2023")</f>
        <v/>
      </c>
    </row>
    <row r="8" ht="15" customHeight="1">
      <c r="A8" t="inlineStr">
        <is>
          <t>A 21111-2025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45777</v>
      </c>
      <c r="E8" s="1" t="n">
        <v>46304</v>
      </c>
      <c r="F8" t="inlineStr">
        <is>
          <t>VÄRMLANDS LÄN</t>
        </is>
      </c>
      <c r="G8" t="inlineStr">
        <is>
          <t>STORFORS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Korallblylav</t>
        </is>
      </c>
      <c r="W8">
        <f>HYPERLINK("https://klasma.github.io/Logging_1760/artfynd/A 21111-2025 artfynd.xlsx", "A 21111-2025")</f>
        <v/>
      </c>
      <c r="X8">
        <f>HYPERLINK("https://klasma.github.io/Logging_1760/kartor/A 21111-2025 karta.png", "A 21111-2025")</f>
        <v/>
      </c>
      <c r="Y8">
        <f>HYPERLINK("https://klasma.github.io/Logging_1760/kartor_geotiff/A 21111-2025 georefererad karta.tif", "A 21111-2025")</f>
        <v/>
      </c>
      <c r="AA8">
        <f>HYPERLINK("https://klasma.github.io/Logging_1760/klagomål/A 21111-2025 FSC-klagomål.docx", "A 21111-2025")</f>
        <v/>
      </c>
      <c r="AB8">
        <f>HYPERLINK("https://klasma.github.io/Logging_1760/klagomålsmail/A 21111-2025 FSC-klagomål mail.docx", "A 21111-2025")</f>
        <v/>
      </c>
      <c r="AC8">
        <f>HYPERLINK("https://klasma.github.io/Logging_1760/tillsyn/A 21111-2025 tillsynsbegäran.docx", "A 21111-2025")</f>
        <v/>
      </c>
      <c r="AD8">
        <f>HYPERLINK("https://klasma.github.io/Logging_1760/tillsynsmail/A 21111-2025 tillsynsbegäran mail.docx", "A 21111-2025")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46304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46304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46304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46304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46304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46304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46304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46304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46304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46304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46304</v>
      </c>
      <c r="F19" t="inlineStr">
        <is>
          <t>VÄRMLANDS LÄN</t>
        </is>
      </c>
      <c r="G19" t="inlineStr">
        <is>
          <t>STORFORS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70761-2021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44536</v>
      </c>
      <c r="E20" s="1" t="n">
        <v>46304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46304</v>
      </c>
      <c r="F21" t="inlineStr">
        <is>
          <t>VÄRMLANDS LÄN</t>
        </is>
      </c>
      <c r="G21" t="inlineStr">
        <is>
          <t>STORFORS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45669</v>
      </c>
      <c r="E22" s="1" t="n">
        <v>46304</v>
      </c>
      <c r="F22" t="inlineStr">
        <is>
          <t>VÄRMLANDS LÄN</t>
        </is>
      </c>
      <c r="G22" t="inlineStr">
        <is>
          <t>STORFORS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45688</v>
      </c>
      <c r="E23" s="1" t="n">
        <v>46304</v>
      </c>
      <c r="F23" t="inlineStr">
        <is>
          <t>VÄRMLANDS LÄN</t>
        </is>
      </c>
      <c r="G23" t="inlineStr">
        <is>
          <t>STORFORS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38176-2024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46304</v>
      </c>
      <c r="F24" t="inlineStr">
        <is>
          <t>VÄRMLANDS LÄN</t>
        </is>
      </c>
      <c r="G24" t="inlineStr">
        <is>
          <t>STORFORS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45686</v>
      </c>
      <c r="E25" s="1" t="n">
        <v>46304</v>
      </c>
      <c r="F25" t="inlineStr">
        <is>
          <t>VÄRMLANDS LÄN</t>
        </is>
      </c>
      <c r="G25" t="inlineStr">
        <is>
          <t>STORFORS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19324-2022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44692</v>
      </c>
      <c r="E26" s="1" t="n">
        <v>46304</v>
      </c>
      <c r="F26" t="inlineStr">
        <is>
          <t>VÄRMLANDS LÄN</t>
        </is>
      </c>
      <c r="G26" t="inlineStr">
        <is>
          <t>STORFORS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46304</v>
      </c>
      <c r="F27" t="inlineStr">
        <is>
          <t>VÄRMLANDS LÄN</t>
        </is>
      </c>
      <c r="G27" t="inlineStr">
        <is>
          <t>STORFORS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29002-2023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46304</v>
      </c>
      <c r="F28" t="inlineStr">
        <is>
          <t>VÄRMLANDS LÄN</t>
        </is>
      </c>
      <c r="G28" t="inlineStr">
        <is>
          <t>STORFORS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46304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41479-2024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45560</v>
      </c>
      <c r="E30" s="1" t="n">
        <v>46304</v>
      </c>
      <c r="F30" t="inlineStr">
        <is>
          <t>VÄRMLANDS LÄN</t>
        </is>
      </c>
      <c r="G30" t="inlineStr">
        <is>
          <t>STORFORS</t>
        </is>
      </c>
      <c r="H30" t="inlineStr">
        <is>
          <t>Naturvårdsverket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47732-2024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45588</v>
      </c>
      <c r="E31" s="1" t="n">
        <v>46304</v>
      </c>
      <c r="F31" t="inlineStr">
        <is>
          <t>VÄRMLANDS LÄN</t>
        </is>
      </c>
      <c r="G31" t="inlineStr">
        <is>
          <t>STORFORS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26189-2024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46304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6856-2025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45700</v>
      </c>
      <c r="E33" s="1" t="n">
        <v>46304</v>
      </c>
      <c r="F33" t="inlineStr">
        <is>
          <t>VÄRMLANDS LÄN</t>
        </is>
      </c>
      <c r="G33" t="inlineStr">
        <is>
          <t>STORFORS</t>
        </is>
      </c>
      <c r="H33" t="inlineStr">
        <is>
          <t>Kyrkan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45355</v>
      </c>
      <c r="E34" s="1" t="n">
        <v>46304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36697-2023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46304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45890</v>
      </c>
      <c r="E36" s="1" t="n">
        <v>46304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33273-2025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46304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33143-2025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46304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15442-2024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46304</v>
      </c>
      <c r="F39" t="inlineStr">
        <is>
          <t>VÄRMLANDS LÄN</t>
        </is>
      </c>
      <c r="G39" t="inlineStr">
        <is>
          <t>STORFORS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37145-2025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45875</v>
      </c>
      <c r="E40" s="1" t="n">
        <v>46304</v>
      </c>
      <c r="F40" t="inlineStr">
        <is>
          <t>VÄRMLANDS LÄN</t>
        </is>
      </c>
      <c r="G40" t="inlineStr">
        <is>
          <t>STORFORS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20725-2023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45058</v>
      </c>
      <c r="E41" s="1" t="n">
        <v>46304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46093</v>
      </c>
      <c r="E42" s="1" t="n">
        <v>46304</v>
      </c>
      <c r="F42" t="inlineStr">
        <is>
          <t>VÄRMLANDS LÄN</t>
        </is>
      </c>
      <c r="G42" t="inlineStr">
        <is>
          <t>STORFORS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13795-2023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46304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45680</v>
      </c>
      <c r="E44" s="1" t="n">
        <v>46304</v>
      </c>
      <c r="F44" t="inlineStr">
        <is>
          <t>VÄRMLANDS LÄN</t>
        </is>
      </c>
      <c r="G44" t="inlineStr">
        <is>
          <t>STORFORS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13960-2026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46098</v>
      </c>
      <c r="E45" s="1" t="n">
        <v>46304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45468</v>
      </c>
      <c r="E46" s="1" t="n">
        <v>46304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25.4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14435-2026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46304</v>
      </c>
      <c r="F47" t="inlineStr">
        <is>
          <t>VÄRMLANDS LÄN</t>
        </is>
      </c>
      <c r="G47" t="inlineStr">
        <is>
          <t>STORFORS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44969</v>
      </c>
      <c r="E48" s="1" t="n">
        <v>46304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45726</v>
      </c>
      <c r="E49" s="1" t="n">
        <v>46304</v>
      </c>
      <c r="F49" t="inlineStr">
        <is>
          <t>VÄRMLANDS LÄN</t>
        </is>
      </c>
      <c r="G49" t="inlineStr">
        <is>
          <t>STORFORS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46304</v>
      </c>
      <c r="F50" t="inlineStr">
        <is>
          <t>VÄRMLANDS LÄN</t>
        </is>
      </c>
      <c r="G50" t="inlineStr">
        <is>
          <t>STORFORS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39998-2023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46304</v>
      </c>
      <c r="F51" t="inlineStr">
        <is>
          <t>VÄRMLANDS LÄN</t>
        </is>
      </c>
      <c r="G51" t="inlineStr">
        <is>
          <t>STORFORS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54738-2023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46304</v>
      </c>
      <c r="F52" t="inlineStr">
        <is>
          <t>VÄRMLANDS LÄN</t>
        </is>
      </c>
      <c r="G52" t="inlineStr">
        <is>
          <t>STORFORS</t>
        </is>
      </c>
      <c r="H52" t="inlineStr">
        <is>
          <t>Naturvårdsverket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46111</v>
      </c>
      <c r="E53" s="1" t="n">
        <v>46304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57981-2022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44900</v>
      </c>
      <c r="E54" s="1" t="n">
        <v>46304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46304</v>
      </c>
      <c r="F55" t="inlineStr">
        <is>
          <t>VÄRMLANDS LÄN</t>
        </is>
      </c>
      <c r="G55" t="inlineStr">
        <is>
          <t>STORFORS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46304</v>
      </c>
      <c r="F56" t="inlineStr">
        <is>
          <t>VÄRMLANDS LÄN</t>
        </is>
      </c>
      <c r="G56" t="inlineStr">
        <is>
          <t>STORFORS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46304</v>
      </c>
      <c r="F57" t="inlineStr">
        <is>
          <t>VÄRMLANDS LÄN</t>
        </is>
      </c>
      <c r="G57" t="inlineStr">
        <is>
          <t>STORFORS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46304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46304</v>
      </c>
      <c r="F59" t="inlineStr">
        <is>
          <t>VÄRMLANDS LÄN</t>
        </is>
      </c>
      <c r="G59" t="inlineStr">
        <is>
          <t>STORFORS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46304</v>
      </c>
      <c r="F60" t="inlineStr">
        <is>
          <t>VÄRMLANDS LÄN</t>
        </is>
      </c>
      <c r="G60" t="inlineStr">
        <is>
          <t>STORFORS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55234-2025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45968</v>
      </c>
      <c r="E61" s="1" t="n">
        <v>46304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46304</v>
      </c>
      <c r="F62" t="inlineStr">
        <is>
          <t>VÄRMLANDS LÄN</t>
        </is>
      </c>
      <c r="G62" t="inlineStr">
        <is>
          <t>STORFORS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46304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14.1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56525-2025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45975</v>
      </c>
      <c r="E64" s="1" t="n">
        <v>46304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44747</v>
      </c>
      <c r="E65" s="1" t="n">
        <v>46304</v>
      </c>
      <c r="F65" t="inlineStr">
        <is>
          <t>VÄRMLANDS LÄN</t>
        </is>
      </c>
      <c r="G65" t="inlineStr">
        <is>
          <t>STORFORS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46304</v>
      </c>
      <c r="F66" t="inlineStr">
        <is>
          <t>VÄRMLANDS LÄN</t>
        </is>
      </c>
      <c r="G66" t="inlineStr">
        <is>
          <t>STORFORS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47713-2024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45588</v>
      </c>
      <c r="E67" s="1" t="n">
        <v>46304</v>
      </c>
      <c r="F67" t="inlineStr">
        <is>
          <t>VÄRMLANDS LÄN</t>
        </is>
      </c>
      <c r="G67" t="inlineStr">
        <is>
          <t>STORFORS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45203</v>
      </c>
      <c r="E68" s="1" t="n">
        <v>46304</v>
      </c>
      <c r="F68" t="inlineStr">
        <is>
          <t>VÄRMLANDS LÄN</t>
        </is>
      </c>
      <c r="G68" t="inlineStr">
        <is>
          <t>STORFORS</t>
        </is>
      </c>
      <c r="H68" t="inlineStr">
        <is>
          <t>Kyrkan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45995</v>
      </c>
      <c r="E69" s="1" t="n">
        <v>46304</v>
      </c>
      <c r="F69" t="inlineStr">
        <is>
          <t>VÄRMLANDS LÄN</t>
        </is>
      </c>
      <c r="G69" t="inlineStr">
        <is>
          <t>STORFORS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46304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45068</v>
      </c>
      <c r="E71" s="1" t="n">
        <v>46304</v>
      </c>
      <c r="F71" t="inlineStr">
        <is>
          <t>VÄRMLANDS LÄN</t>
        </is>
      </c>
      <c r="G71" t="inlineStr">
        <is>
          <t>STORFORS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44907</v>
      </c>
      <c r="E72" s="1" t="n">
        <v>46304</v>
      </c>
      <c r="F72" t="inlineStr">
        <is>
          <t>VÄRMLANDS LÄN</t>
        </is>
      </c>
      <c r="G72" t="inlineStr">
        <is>
          <t>STORFORS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46304</v>
      </c>
      <c r="F73" t="inlineStr">
        <is>
          <t>VÄRMLANDS LÄN</t>
        </is>
      </c>
      <c r="G73" t="inlineStr">
        <is>
          <t>STORFORS</t>
        </is>
      </c>
      <c r="H73" t="inlineStr">
        <is>
          <t>Naturvårdsverket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46000</v>
      </c>
      <c r="E74" s="1" t="n">
        <v>46304</v>
      </c>
      <c r="F74" t="inlineStr">
        <is>
          <t>VÄRMLANDS LÄN</t>
        </is>
      </c>
      <c r="G74" t="inlineStr">
        <is>
          <t>STORFORS</t>
        </is>
      </c>
      <c r="H74" t="inlineStr">
        <is>
          <t>Naturvårdsverket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46304</v>
      </c>
      <c r="F75" t="inlineStr">
        <is>
          <t>VÄRMLANDS LÄN</t>
        </is>
      </c>
      <c r="G75" t="inlineStr">
        <is>
          <t>STORFORS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16359-2023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46304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46304</v>
      </c>
      <c r="F77" t="inlineStr">
        <is>
          <t>VÄRMLANDS LÄN</t>
        </is>
      </c>
      <c r="G77" t="inlineStr">
        <is>
          <t>STORFORS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46013</v>
      </c>
      <c r="E78" s="1" t="n">
        <v>46304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46009</v>
      </c>
      <c r="E79" s="1" t="n">
        <v>46304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59146-2025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45988</v>
      </c>
      <c r="E80" s="1" t="n">
        <v>46304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9.9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46304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63080-2025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46009</v>
      </c>
      <c r="E82" s="1" t="n">
        <v>46304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46304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10.6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52834-2023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45226</v>
      </c>
      <c r="E84" s="1" t="n">
        <v>46304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53202-2023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45229</v>
      </c>
      <c r="E85" s="1" t="n">
        <v>46304</v>
      </c>
      <c r="F85" t="inlineStr">
        <is>
          <t>VÄRMLANDS LÄN</t>
        </is>
      </c>
      <c r="G85" t="inlineStr">
        <is>
          <t>STORFORS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46304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46139</v>
      </c>
      <c r="E87" s="1" t="n">
        <v>46304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46304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46304</v>
      </c>
      <c r="F89" t="inlineStr">
        <is>
          <t>VÄRMLANDS LÄN</t>
        </is>
      </c>
      <c r="G89" t="inlineStr">
        <is>
          <t>STORFORS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46304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46304</v>
      </c>
      <c r="F91" t="inlineStr">
        <is>
          <t>VÄRMLANDS LÄN</t>
        </is>
      </c>
      <c r="G91" t="inlineStr">
        <is>
          <t>STORFORS</t>
        </is>
      </c>
      <c r="I91" t="n">
        <v>10.8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20527-2026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46140</v>
      </c>
      <c r="E92" s="1" t="n">
        <v>46304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20533-2026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46140</v>
      </c>
      <c r="E93" s="1" t="n">
        <v>46304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20543-2026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46304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7028-2026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46304</v>
      </c>
      <c r="F95" t="inlineStr">
        <is>
          <t>VÄRMLANDS LÄN</t>
        </is>
      </c>
      <c r="G95" t="inlineStr">
        <is>
          <t>STORFORS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46304</v>
      </c>
      <c r="F96" t="inlineStr">
        <is>
          <t>VÄRMLANDS LÄN</t>
        </is>
      </c>
      <c r="G96" t="inlineStr">
        <is>
          <t>STORFORS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46304</v>
      </c>
      <c r="F97" t="inlineStr">
        <is>
          <t>VÄRMLANDS LÄN</t>
        </is>
      </c>
      <c r="G97" t="inlineStr">
        <is>
          <t>STORFORS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46304</v>
      </c>
      <c r="F98" t="inlineStr">
        <is>
          <t>VÄRMLANDS LÄN</t>
        </is>
      </c>
      <c r="G98" t="inlineStr">
        <is>
          <t>STORFORS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46304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46304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20449-2026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46304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46304</v>
      </c>
      <c r="F102" t="inlineStr">
        <is>
          <t>VÄRMLANDS LÄN</t>
        </is>
      </c>
      <c r="G102" t="inlineStr">
        <is>
          <t>STORFORS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44930</v>
      </c>
      <c r="E103" s="1" t="n">
        <v>46304</v>
      </c>
      <c r="F103" t="inlineStr">
        <is>
          <t>VÄRMLANDS LÄN</t>
        </is>
      </c>
      <c r="G103" t="inlineStr">
        <is>
          <t>STORFORS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46304</v>
      </c>
      <c r="F104" t="inlineStr">
        <is>
          <t>VÄRMLANDS LÄN</t>
        </is>
      </c>
      <c r="G104" t="inlineStr">
        <is>
          <t>STORFORS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61586-2025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46002</v>
      </c>
      <c r="E105" s="1" t="n">
        <v>46304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44938</v>
      </c>
      <c r="E106" s="1" t="n">
        <v>46304</v>
      </c>
      <c r="F106" t="inlineStr">
        <is>
          <t>VÄRMLANDS LÄN</t>
        </is>
      </c>
      <c r="G106" t="inlineStr">
        <is>
          <t>STORFORS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46304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46304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24406-2026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46169</v>
      </c>
      <c r="E109" s="1" t="n">
        <v>46304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46304</v>
      </c>
      <c r="F110" t="inlineStr">
        <is>
          <t>VÄRMLANDS LÄN</t>
        </is>
      </c>
      <c r="G110" t="inlineStr">
        <is>
          <t>STORFORS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24442-2026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46170</v>
      </c>
      <c r="E111" s="1" t="n">
        <v>46304</v>
      </c>
      <c r="F111" t="inlineStr">
        <is>
          <t>VÄRMLANDS LÄN</t>
        </is>
      </c>
      <c r="G111" t="inlineStr">
        <is>
          <t>STORFORS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46304</v>
      </c>
      <c r="F112" t="inlineStr">
        <is>
          <t>VÄRMLANDS LÄN</t>
        </is>
      </c>
      <c r="G112" t="inlineStr">
        <is>
          <t>STORFORS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26067-2026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46304</v>
      </c>
      <c r="F113" t="inlineStr">
        <is>
          <t>VÄRMLANDS LÄN</t>
        </is>
      </c>
      <c r="G113" t="inlineStr">
        <is>
          <t>STORFORS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45614</v>
      </c>
      <c r="E114" s="1" t="n">
        <v>46304</v>
      </c>
      <c r="F114" t="inlineStr">
        <is>
          <t>VÄRMLANDS LÄN</t>
        </is>
      </c>
      <c r="G114" t="inlineStr">
        <is>
          <t>STORFORS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46304</v>
      </c>
      <c r="F115" t="inlineStr">
        <is>
          <t>VÄRMLANDS LÄN</t>
        </is>
      </c>
      <c r="G115" t="inlineStr">
        <is>
          <t>STORFORS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45372</v>
      </c>
      <c r="E116" s="1" t="n">
        <v>46304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44728</v>
      </c>
      <c r="E117" s="1" t="n">
        <v>46304</v>
      </c>
      <c r="F117" t="inlineStr">
        <is>
          <t>VÄRMLANDS LÄN</t>
        </is>
      </c>
      <c r="G117" t="inlineStr">
        <is>
          <t>STORFORS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46304</v>
      </c>
      <c r="F118" t="inlineStr">
        <is>
          <t>VÄRMLANDS LÄN</t>
        </is>
      </c>
      <c r="G118" t="inlineStr">
        <is>
          <t>STORFORS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46304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46304</v>
      </c>
      <c r="F120" t="inlineStr">
        <is>
          <t>VÄRMLANDS LÄN</t>
        </is>
      </c>
      <c r="G120" t="inlineStr">
        <is>
          <t>STORFORS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46304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46203</v>
      </c>
      <c r="E122" s="1" t="n">
        <v>46304</v>
      </c>
      <c r="F122" t="inlineStr">
        <is>
          <t>VÄRMLANDS LÄN</t>
        </is>
      </c>
      <c r="G122" t="inlineStr">
        <is>
          <t>STORFORS</t>
        </is>
      </c>
      <c r="H122" t="inlineStr">
        <is>
          <t>Naturvårdsverket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46304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46304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30425-2026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46209</v>
      </c>
      <c r="E125" s="1" t="n">
        <v>46304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8639-2025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45711</v>
      </c>
      <c r="E126" s="1" t="n">
        <v>46304</v>
      </c>
      <c r="F126" t="inlineStr">
        <is>
          <t>VÄRMLANDS LÄN</t>
        </is>
      </c>
      <c r="G126" t="inlineStr">
        <is>
          <t>STORFORS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28979-2026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46199</v>
      </c>
      <c r="E127" s="1" t="n">
        <v>46304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46304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31441-2026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46220</v>
      </c>
      <c r="E129" s="1" t="n">
        <v>46304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46205</v>
      </c>
      <c r="E130" s="1" t="n">
        <v>46304</v>
      </c>
      <c r="F130" t="inlineStr">
        <is>
          <t>VÄRMLANDS LÄN</t>
        </is>
      </c>
      <c r="G130" t="inlineStr">
        <is>
          <t>STORFORS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35672-2026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46265</v>
      </c>
      <c r="E131" s="1" t="n">
        <v>46304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46304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46304</v>
      </c>
      <c r="F133" t="inlineStr">
        <is>
          <t>VÄRMLANDS LÄN</t>
        </is>
      </c>
      <c r="G133" t="inlineStr">
        <is>
          <t>STORFORS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46268</v>
      </c>
      <c r="E134" s="1" t="n">
        <v>46304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36417-2026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46268</v>
      </c>
      <c r="E135" s="1" t="n">
        <v>46304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46304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46304</v>
      </c>
      <c r="F137" t="inlineStr">
        <is>
          <t>VÄRMLANDS LÄN</t>
        </is>
      </c>
      <c r="G137" t="inlineStr">
        <is>
          <t>STORFORS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46227</v>
      </c>
      <c r="E138" s="1" t="n">
        <v>46304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31992-2026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46232</v>
      </c>
      <c r="E139" s="1" t="n">
        <v>46304</v>
      </c>
      <c r="F139" t="inlineStr">
        <is>
          <t>VÄRMLANDS LÄN</t>
        </is>
      </c>
      <c r="G139" t="inlineStr">
        <is>
          <t>STORFORS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46304</v>
      </c>
      <c r="F140" t="inlineStr">
        <is>
          <t>VÄRMLANDS LÄN</t>
        </is>
      </c>
      <c r="G140" t="inlineStr">
        <is>
          <t>STORFORS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46304</v>
      </c>
      <c r="F141" t="inlineStr">
        <is>
          <t>VÄRMLANDS LÄN</t>
        </is>
      </c>
      <c r="G141" t="inlineStr">
        <is>
          <t>STORFORS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46281</v>
      </c>
      <c r="E142" s="1" t="n">
        <v>46304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46304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46304</v>
      </c>
      <c r="F144" t="inlineStr">
        <is>
          <t>VÄRMLANDS LÄN</t>
        </is>
      </c>
      <c r="G144" t="inlineStr">
        <is>
          <t>STORFORS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46304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32964-2026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46304</v>
      </c>
      <c r="F146" t="inlineStr">
        <is>
          <t>VÄRMLANDS LÄN</t>
        </is>
      </c>
      <c r="G146" t="inlineStr">
        <is>
          <t>STORFORS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46304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46304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46289</v>
      </c>
      <c r="E149" s="1" t="n">
        <v>46304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46304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46280</v>
      </c>
      <c r="E151" s="1" t="n">
        <v>46304</v>
      </c>
      <c r="F151" t="inlineStr">
        <is>
          <t>VÄRMLANDS LÄN</t>
        </is>
      </c>
      <c r="G151" t="inlineStr">
        <is>
          <t>STORFORS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40058-2026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46293</v>
      </c>
      <c r="E152" s="1" t="n">
        <v>46304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12.5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46293</v>
      </c>
      <c r="E153" s="1" t="n">
        <v>46304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46290</v>
      </c>
      <c r="E154" s="1" t="n">
        <v>46304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19.5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40009-2026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46293</v>
      </c>
      <c r="E155" s="1" t="n">
        <v>46304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10.6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40098-2026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46293</v>
      </c>
      <c r="E156" s="1" t="n">
        <v>46304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8.800000000000001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45818</v>
      </c>
      <c r="E157" s="1" t="n">
        <v>46304</v>
      </c>
      <c r="F157" t="inlineStr">
        <is>
          <t>VÄRMLANDS LÄN</t>
        </is>
      </c>
      <c r="G157" t="inlineStr">
        <is>
          <t>STORFORS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46304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24.1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46304</v>
      </c>
      <c r="F159" t="inlineStr">
        <is>
          <t>VÄRMLANDS LÄN</t>
        </is>
      </c>
      <c r="G159" t="inlineStr">
        <is>
          <t>STORFORS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46258</v>
      </c>
      <c r="E160" s="1" t="n">
        <v>46304</v>
      </c>
      <c r="F160" t="inlineStr">
        <is>
          <t>VÄRMLANDS LÄN</t>
        </is>
      </c>
      <c r="G160" t="inlineStr">
        <is>
          <t>STORFORS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46304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4139-2023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46304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20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4141-2023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46304</v>
      </c>
      <c r="F163" t="inlineStr">
        <is>
          <t>VÄRMLANDS LÄN</t>
        </is>
      </c>
      <c r="G163" t="inlineStr">
        <is>
          <t>STORFORS</t>
        </is>
      </c>
      <c r="H163" t="inlineStr">
        <is>
          <t>Naturvårdsverket</t>
        </is>
      </c>
      <c r="I163" t="n">
        <v>20.6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733-2025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45716</v>
      </c>
      <c r="E164" s="1" t="n">
        <v>46304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33.7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98-2026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46036</v>
      </c>
      <c r="E165" s="1" t="n">
        <v>46304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72.5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1683-2026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46182</v>
      </c>
      <c r="E166" s="1" t="n">
        <v>46304</v>
      </c>
      <c r="F166" t="inlineStr">
        <is>
          <t>VÄRMLANDS LÄN</t>
        </is>
      </c>
      <c r="G166" t="inlineStr">
        <is>
          <t>STORFORS</t>
        </is>
      </c>
      <c r="I166" t="n">
        <v>37.1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2026-10-09T02:05:34Z</dcterms:created>
  <dcterms:modified xmlns:dcterms="http://purl.org/dc/terms/" xmlns:xsi="http://www.w3.org/2001/XMLSchema-instance" xsi:type="dcterms:W3CDTF">2026-10-09T02:05:34Z</dcterms:modified>
</cp:coreProperties>
</file>