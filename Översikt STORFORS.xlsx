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46202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s="1" t="n">
        <v>44868</v>
      </c>
      <c r="C3" s="1" t="n">
        <v>46202</v>
      </c>
      <c r="D3" t="inlineStr">
        <is>
          <t>VÄRMLANDS LÄN</t>
        </is>
      </c>
      <c r="E3" t="inlineStr">
        <is>
          <t>STORFORS</t>
        </is>
      </c>
      <c r="F3" t="inlineStr">
        <is>
          <t>Kyrkan</t>
        </is>
      </c>
      <c r="G3" t="n">
        <v>0.6</v>
      </c>
      <c r="H3" t="n">
        <v>0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Brunfläckig pärlemorfjäril
Ängsblåvinge</t>
        </is>
      </c>
      <c r="S3">
        <f>HYPERLINK("https://klasma.github.io/Logging_1760/artfynd/A 51171-2022 artfynd.xlsx", "A 51171-2022")</f>
        <v/>
      </c>
      <c r="T3">
        <f>HYPERLINK("https://klasma.github.io/Logging_1760/kartor/A 51171-2022 karta.png", "A 51171-2022")</f>
        <v/>
      </c>
      <c r="V3">
        <f>HYPERLINK("https://klasma.github.io/Logging_1760/klagomål/A 51171-2022 FSC-klagomål.docx", "A 51171-2022")</f>
        <v/>
      </c>
      <c r="W3">
        <f>HYPERLINK("https://klasma.github.io/Logging_1760/klagomålsmail/A 51171-2022 FSC-klagomål mail.docx", "A 51171-2022")</f>
        <v/>
      </c>
      <c r="X3">
        <f>HYPERLINK("https://klasma.github.io/Logging_1760/tillsyn/A 51171-2022 tillsynsbegäran.docx", "A 51171-2022")</f>
        <v/>
      </c>
      <c r="Y3">
        <f>HYPERLINK("https://klasma.github.io/Logging_1760/tillsynsmail/A 51171-2022 tillsynsbegäran mail.docx", "A 51171-2022")</f>
        <v/>
      </c>
    </row>
    <row r="4" ht="15" customHeight="1">
      <c r="A4" t="inlineStr">
        <is>
          <t>A 57209-2022</t>
        </is>
      </c>
      <c r="B4" s="1" t="n">
        <v>44895</v>
      </c>
      <c r="C4" s="1" t="n">
        <v>46202</v>
      </c>
      <c r="D4" t="inlineStr">
        <is>
          <t>VÄRMLANDS LÄN</t>
        </is>
      </c>
      <c r="E4" t="inlineStr">
        <is>
          <t>STORFORS</t>
        </is>
      </c>
      <c r="F4" t="inlineStr">
        <is>
          <t>Kyrkan</t>
        </is>
      </c>
      <c r="G4" t="n">
        <v>6.3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Knölspindel</t>
        </is>
      </c>
      <c r="S4">
        <f>HYPERLINK("https://klasma.github.io/Logging_1760/artfynd/A 57209-2022 artfynd.xlsx", "A 57209-2022")</f>
        <v/>
      </c>
      <c r="T4">
        <f>HYPERLINK("https://klasma.github.io/Logging_1760/kartor/A 57209-2022 karta.png", "A 57209-2022")</f>
        <v/>
      </c>
      <c r="V4">
        <f>HYPERLINK("https://klasma.github.io/Logging_1760/klagomål/A 57209-2022 FSC-klagomål.docx", "A 57209-2022")</f>
        <v/>
      </c>
      <c r="W4">
        <f>HYPERLINK("https://klasma.github.io/Logging_1760/klagomålsmail/A 57209-2022 FSC-klagomål mail.docx", "A 57209-2022")</f>
        <v/>
      </c>
      <c r="X4">
        <f>HYPERLINK("https://klasma.github.io/Logging_1760/tillsyn/A 57209-2022 tillsynsbegäran.docx", "A 57209-2022")</f>
        <v/>
      </c>
      <c r="Y4">
        <f>HYPERLINK("https://klasma.github.io/Logging_1760/tillsynsmail/A 57209-2022 tillsynsbegäran mail.docx", "A 57209-2022")</f>
        <v/>
      </c>
    </row>
    <row r="5" ht="15" customHeight="1">
      <c r="A5" t="inlineStr">
        <is>
          <t>A 43407-2022</t>
        </is>
      </c>
      <c r="B5" s="1" t="n">
        <v>44834</v>
      </c>
      <c r="C5" s="1" t="n">
        <v>46202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HYPERLINK("https://klasma.github.io/Logging_1760/artfynd/A 43407-2022 artfynd.xlsx", "A 43407-2022")</f>
        <v/>
      </c>
      <c r="T5">
        <f>HYPERLINK("https://klasma.github.io/Logging_1760/kartor/A 43407-2022 karta.png", "A 43407-2022")</f>
        <v/>
      </c>
      <c r="V5">
        <f>HYPERLINK("https://klasma.github.io/Logging_1760/klagomål/A 43407-2022 FSC-klagomål.docx", "A 43407-2022")</f>
        <v/>
      </c>
      <c r="W5">
        <f>HYPERLINK("https://klasma.github.io/Logging_1760/klagomålsmail/A 43407-2022 FSC-klagomål mail.docx", "A 43407-2022")</f>
        <v/>
      </c>
      <c r="X5">
        <f>HYPERLINK("https://klasma.github.io/Logging_1760/tillsyn/A 43407-2022 tillsynsbegäran.docx", "A 43407-2022")</f>
        <v/>
      </c>
      <c r="Y5">
        <f>HYPERLINK("https://klasma.github.io/Logging_1760/tillsynsmail/A 43407-2022 tillsynsbegäran mail.docx", "A 43407-2022")</f>
        <v/>
      </c>
      <c r="Z5">
        <f>HYPERLINK("https://klasma.github.io/Logging_1760/fåglar/A 43407-2022 prioriterade fågelarter.docx", "A 43407-2022")</f>
        <v/>
      </c>
    </row>
    <row r="6" ht="15" customHeight="1">
      <c r="A6" t="inlineStr">
        <is>
          <t>A 46376-2023</t>
        </is>
      </c>
      <c r="B6" s="1" t="n">
        <v>45197</v>
      </c>
      <c r="C6" s="1" t="n">
        <v>46202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33518-2025</t>
        </is>
      </c>
      <c r="B7" s="1" t="n">
        <v>45841</v>
      </c>
      <c r="C7" s="1" t="n">
        <v>46202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21111-2025</t>
        </is>
      </c>
      <c r="B8" s="1" t="n">
        <v>45777</v>
      </c>
      <c r="C8" s="1" t="n">
        <v>46202</v>
      </c>
      <c r="D8" t="inlineStr">
        <is>
          <t>VÄRMLANDS LÄN</t>
        </is>
      </c>
      <c r="E8" t="inlineStr">
        <is>
          <t>STORFORS</t>
        </is>
      </c>
      <c r="G8" t="n">
        <v>1.9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21111-2025 artfynd.xlsx", "A 21111-2025")</f>
        <v/>
      </c>
      <c r="T8">
        <f>HYPERLINK("https://klasma.github.io/Logging_1760/kartor/A 21111-2025 karta.png", "A 21111-2025")</f>
        <v/>
      </c>
      <c r="V8">
        <f>HYPERLINK("https://klasma.github.io/Logging_1760/klagomål/A 21111-2025 FSC-klagomål.docx", "A 21111-2025")</f>
        <v/>
      </c>
      <c r="W8">
        <f>HYPERLINK("https://klasma.github.io/Logging_1760/klagomålsmail/A 21111-2025 FSC-klagomål mail.docx", "A 21111-2025")</f>
        <v/>
      </c>
      <c r="X8">
        <f>HYPERLINK("https://klasma.github.io/Logging_1760/tillsyn/A 21111-2025 tillsynsbegäran.docx", "A 21111-2025")</f>
        <v/>
      </c>
      <c r="Y8">
        <f>HYPERLINK("https://klasma.github.io/Logging_1760/tillsynsmail/A 21111-2025 tillsynsbegäran mail.docx", "A 21111-2025")</f>
        <v/>
      </c>
    </row>
    <row r="9" ht="15" customHeight="1">
      <c r="A9" t="inlineStr">
        <is>
          <t>A 35089-2022</t>
        </is>
      </c>
      <c r="B9" s="1" t="n">
        <v>44797</v>
      </c>
      <c r="C9" s="1" t="n">
        <v>46202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</v>
      </c>
      <c r="C10" s="1" t="n">
        <v>46202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46202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64815-2021</t>
        </is>
      </c>
      <c r="B12" s="1" t="n">
        <v>44512</v>
      </c>
      <c r="C12" s="1" t="n">
        <v>46202</v>
      </c>
      <c r="D12" t="inlineStr">
        <is>
          <t>VÄRMLANDS LÄN</t>
        </is>
      </c>
      <c r="E12" t="inlineStr">
        <is>
          <t>STORFORS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33307-2022</t>
        </is>
      </c>
      <c r="B13" s="1" t="n">
        <v>44788</v>
      </c>
      <c r="C13" s="1" t="n">
        <v>46202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35084-2022</t>
        </is>
      </c>
      <c r="B14" s="1" t="n">
        <v>44797</v>
      </c>
      <c r="C14" s="1" t="n">
        <v>46202</v>
      </c>
      <c r="D14" t="inlineStr">
        <is>
          <t>VÄRMLANDS LÄN</t>
        </is>
      </c>
      <c r="E14" t="inlineStr">
        <is>
          <t>STORFORS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44802-2022</t>
        </is>
      </c>
      <c r="B15" s="1" t="n">
        <v>44841</v>
      </c>
      <c r="C15" s="1" t="n">
        <v>46202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57734-2021</t>
        </is>
      </c>
      <c r="B16" s="1" t="n">
        <v>44484</v>
      </c>
      <c r="C16" s="1" t="n">
        <v>46202</v>
      </c>
      <c r="D16" t="inlineStr">
        <is>
          <t>VÄRMLANDS LÄN</t>
        </is>
      </c>
      <c r="E16" t="inlineStr">
        <is>
          <t>STORFORS</t>
        </is>
      </c>
      <c r="F16" t="inlineStr">
        <is>
          <t>Naturvårdsverket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64814-2021</t>
        </is>
      </c>
      <c r="B17" s="1" t="n">
        <v>44512</v>
      </c>
      <c r="C17" s="1" t="n">
        <v>46202</v>
      </c>
      <c r="D17" t="inlineStr">
        <is>
          <t>VÄRMLANDS LÄN</t>
        </is>
      </c>
      <c r="E17" t="inlineStr">
        <is>
          <t>STORFORS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44783-2022</t>
        </is>
      </c>
      <c r="B18" s="1" t="n">
        <v>44841</v>
      </c>
      <c r="C18" s="1" t="n">
        <v>46202</v>
      </c>
      <c r="D18" t="inlineStr">
        <is>
          <t>VÄRMLANDS LÄN</t>
        </is>
      </c>
      <c r="E18" t="inlineStr">
        <is>
          <t>STORFORS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6856-2025</t>
        </is>
      </c>
      <c r="B19" s="1" t="n">
        <v>45700</v>
      </c>
      <c r="C19" s="1" t="n">
        <v>46202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22935-2023</t>
        </is>
      </c>
      <c r="B20" s="1" t="n">
        <v>45072</v>
      </c>
      <c r="C20" s="1" t="n">
        <v>46202</v>
      </c>
      <c r="D20" t="inlineStr">
        <is>
          <t>VÄRMLANDS LÄN</t>
        </is>
      </c>
      <c r="E20" t="inlineStr">
        <is>
          <t>STORFORS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70761-2021</t>
        </is>
      </c>
      <c r="B21" s="1" t="n">
        <v>44536</v>
      </c>
      <c r="C21" s="1" t="n">
        <v>46202</v>
      </c>
      <c r="D21" t="inlineStr">
        <is>
          <t>VÄRMLANDS LÄN</t>
        </is>
      </c>
      <c r="E21" t="inlineStr">
        <is>
          <t>STORFORS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36697-2023</t>
        </is>
      </c>
      <c r="B22" s="1" t="n">
        <v>45153</v>
      </c>
      <c r="C22" s="1" t="n">
        <v>46202</v>
      </c>
      <c r="D22" t="inlineStr">
        <is>
          <t>VÄRMLANDS LÄN</t>
        </is>
      </c>
      <c r="E22" t="inlineStr">
        <is>
          <t>STORFORS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15442-2024</t>
        </is>
      </c>
      <c r="B23" s="1" t="n">
        <v>45401</v>
      </c>
      <c r="C23" s="1" t="n">
        <v>46202</v>
      </c>
      <c r="D23" t="inlineStr">
        <is>
          <t>VÄRMLANDS LÄN</t>
        </is>
      </c>
      <c r="E23" t="inlineStr">
        <is>
          <t>STORFORS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47728-2023</t>
        </is>
      </c>
      <c r="B24" s="1" t="n">
        <v>45203</v>
      </c>
      <c r="C24" s="1" t="n">
        <v>46202</v>
      </c>
      <c r="D24" t="inlineStr">
        <is>
          <t>VÄRMLANDS LÄN</t>
        </is>
      </c>
      <c r="E24" t="inlineStr">
        <is>
          <t>STORFORS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20725-2023</t>
        </is>
      </c>
      <c r="B25" s="1" t="n">
        <v>45058</v>
      </c>
      <c r="C25" s="1" t="n">
        <v>46202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13795-2023</t>
        </is>
      </c>
      <c r="B26" s="1" t="n">
        <v>45007</v>
      </c>
      <c r="C26" s="1" t="n">
        <v>46202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1431-2025</t>
        </is>
      </c>
      <c r="B27" s="1" t="n">
        <v>45669</v>
      </c>
      <c r="C27" s="1" t="n">
        <v>46202</v>
      </c>
      <c r="D27" t="inlineStr">
        <is>
          <t>VÄRMLANDS LÄN</t>
        </is>
      </c>
      <c r="E27" t="inlineStr">
        <is>
          <t>STORFORS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26201-2024</t>
        </is>
      </c>
      <c r="B28" s="1" t="n">
        <v>45468</v>
      </c>
      <c r="C28" s="1" t="n">
        <v>46202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7072-2023</t>
        </is>
      </c>
      <c r="B29" s="1" t="n">
        <v>44969</v>
      </c>
      <c r="C29" s="1" t="n">
        <v>46202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11290-2025</t>
        </is>
      </c>
      <c r="B30" s="1" t="n">
        <v>45726</v>
      </c>
      <c r="C30" s="1" t="n">
        <v>46202</v>
      </c>
      <c r="D30" t="inlineStr">
        <is>
          <t>VÄRMLANDS LÄN</t>
        </is>
      </c>
      <c r="E30" t="inlineStr">
        <is>
          <t>STORFORS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</v>
      </c>
      <c r="C31" s="1" t="n">
        <v>46202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46202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2342-2023</t>
        </is>
      </c>
      <c r="B33" s="1" t="n">
        <v>44938</v>
      </c>
      <c r="C33" s="1" t="n">
        <v>46202</v>
      </c>
      <c r="D33" t="inlineStr">
        <is>
          <t>VÄRMLANDS LÄN</t>
        </is>
      </c>
      <c r="E33" t="inlineStr">
        <is>
          <t>STORFORS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8639-2025</t>
        </is>
      </c>
      <c r="B34" s="1" t="n">
        <v>45711</v>
      </c>
      <c r="C34" s="1" t="n">
        <v>46202</v>
      </c>
      <c r="D34" t="inlineStr">
        <is>
          <t>VÄRMLANDS LÄN</t>
        </is>
      </c>
      <c r="E34" t="inlineStr">
        <is>
          <t>STORFORS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487-2023</t>
        </is>
      </c>
      <c r="B35" s="1" t="n">
        <v>44930</v>
      </c>
      <c r="C35" s="1" t="n">
        <v>46202</v>
      </c>
      <c r="D35" t="inlineStr">
        <is>
          <t>VÄRMLANDS LÄN</t>
        </is>
      </c>
      <c r="E35" t="inlineStr">
        <is>
          <t>STORFORS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13636-2024</t>
        </is>
      </c>
      <c r="B36" s="1" t="n">
        <v>45390</v>
      </c>
      <c r="C36" s="1" t="n">
        <v>46202</v>
      </c>
      <c r="D36" t="inlineStr">
        <is>
          <t>VÄRMLANDS LÄN</t>
        </is>
      </c>
      <c r="E36" t="inlineStr">
        <is>
          <t>STORFORS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20085-2025</t>
        </is>
      </c>
      <c r="B37" s="1" t="n">
        <v>45772</v>
      </c>
      <c r="C37" s="1" t="n">
        <v>46202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39998-2023</t>
        </is>
      </c>
      <c r="B38" s="1" t="n">
        <v>45168</v>
      </c>
      <c r="C38" s="1" t="n">
        <v>46202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54738-2023</t>
        </is>
      </c>
      <c r="B39" s="1" t="n">
        <v>45236</v>
      </c>
      <c r="C39" s="1" t="n">
        <v>46202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38176-2024</t>
        </is>
      </c>
      <c r="B40" s="1" t="n">
        <v>45545</v>
      </c>
      <c r="C40" s="1" t="n">
        <v>46202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57981-2022</t>
        </is>
      </c>
      <c r="B41" s="1" t="n">
        <v>44900</v>
      </c>
      <c r="C41" s="1" t="n">
        <v>46202</v>
      </c>
      <c r="D41" t="inlineStr">
        <is>
          <t>VÄRMLANDS LÄN</t>
        </is>
      </c>
      <c r="E41" t="inlineStr">
        <is>
          <t>STORFORS</t>
        </is>
      </c>
      <c r="F41" t="inlineStr">
        <is>
          <t>Naturvårdsverket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41325-2023</t>
        </is>
      </c>
      <c r="B42" s="1" t="n">
        <v>45174</v>
      </c>
      <c r="C42" s="1" t="n">
        <v>46202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58125-2022</t>
        </is>
      </c>
      <c r="B43" s="1" t="n">
        <v>44900</v>
      </c>
      <c r="C43" s="1" t="n">
        <v>46202</v>
      </c>
      <c r="D43" t="inlineStr">
        <is>
          <t>VÄRMLANDS LÄN</t>
        </is>
      </c>
      <c r="E43" t="inlineStr">
        <is>
          <t>STORFORS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3721-2025</t>
        </is>
      </c>
      <c r="B44" s="1" t="n">
        <v>45681</v>
      </c>
      <c r="C44" s="1" t="n">
        <v>46202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4494-2025</t>
        </is>
      </c>
      <c r="B45" s="1" t="n">
        <v>45686</v>
      </c>
      <c r="C45" s="1" t="n">
        <v>46202</v>
      </c>
      <c r="D45" t="inlineStr">
        <is>
          <t>VÄRMLANDS LÄN</t>
        </is>
      </c>
      <c r="E45" t="inlineStr">
        <is>
          <t>STORFORS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54190-2023</t>
        </is>
      </c>
      <c r="B46" s="1" t="n">
        <v>45232</v>
      </c>
      <c r="C46" s="1" t="n">
        <v>46202</v>
      </c>
      <c r="D46" t="inlineStr">
        <is>
          <t>VÄRMLANDS LÄN</t>
        </is>
      </c>
      <c r="E46" t="inlineStr">
        <is>
          <t>STORFORS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4998-2024</t>
        </is>
      </c>
      <c r="B47" s="1" t="n">
        <v>45329</v>
      </c>
      <c r="C47" s="1" t="n">
        <v>46202</v>
      </c>
      <c r="D47" t="inlineStr">
        <is>
          <t>VÄRMLANDS LÄN</t>
        </is>
      </c>
      <c r="E47" t="inlineStr">
        <is>
          <t>STORFORS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19324-2022</t>
        </is>
      </c>
      <c r="B48" s="1" t="n">
        <v>44692</v>
      </c>
      <c r="C48" s="1" t="n">
        <v>46202</v>
      </c>
      <c r="D48" t="inlineStr">
        <is>
          <t>VÄRMLANDS LÄN</t>
        </is>
      </c>
      <c r="E48" t="inlineStr">
        <is>
          <t>STORFORS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41479-2024</t>
        </is>
      </c>
      <c r="B49" s="1" t="n">
        <v>45560</v>
      </c>
      <c r="C49" s="1" t="n">
        <v>46202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29002-2023</t>
        </is>
      </c>
      <c r="B50" s="1" t="n">
        <v>45104</v>
      </c>
      <c r="C50" s="1" t="n">
        <v>46202</v>
      </c>
      <c r="D50" t="inlineStr">
        <is>
          <t>VÄRMLANDS LÄN</t>
        </is>
      </c>
      <c r="E50" t="inlineStr">
        <is>
          <t>STORFORS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15152-2022</t>
        </is>
      </c>
      <c r="B51" s="1" t="n">
        <v>44658</v>
      </c>
      <c r="C51" s="1" t="n">
        <v>46202</v>
      </c>
      <c r="D51" t="inlineStr">
        <is>
          <t>VÄRMLANDS LÄN</t>
        </is>
      </c>
      <c r="E51" t="inlineStr">
        <is>
          <t>STORFORS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28466-2022</t>
        </is>
      </c>
      <c r="B52" s="1" t="n">
        <v>44747</v>
      </c>
      <c r="C52" s="1" t="n">
        <v>46202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47732-2024</t>
        </is>
      </c>
      <c r="B53" s="1" t="n">
        <v>45588</v>
      </c>
      <c r="C53" s="1" t="n">
        <v>46202</v>
      </c>
      <c r="D53" t="inlineStr">
        <is>
          <t>VÄRMLANDS LÄN</t>
        </is>
      </c>
      <c r="E53" t="inlineStr">
        <is>
          <t>STORFORS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33806-2024</t>
        </is>
      </c>
      <c r="B54" s="1" t="n">
        <v>45520</v>
      </c>
      <c r="C54" s="1" t="n">
        <v>46202</v>
      </c>
      <c r="D54" t="inlineStr">
        <is>
          <t>VÄRMLANDS LÄN</t>
        </is>
      </c>
      <c r="E54" t="inlineStr">
        <is>
          <t>STORFORS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47713-2024</t>
        </is>
      </c>
      <c r="B55" s="1" t="n">
        <v>45588</v>
      </c>
      <c r="C55" s="1" t="n">
        <v>46202</v>
      </c>
      <c r="D55" t="inlineStr">
        <is>
          <t>VÄRMLANDS LÄN</t>
        </is>
      </c>
      <c r="E55" t="inlineStr">
        <is>
          <t>STORFORS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1840-2023</t>
        </is>
      </c>
      <c r="B56" s="1" t="n">
        <v>44938</v>
      </c>
      <c r="C56" s="1" t="n">
        <v>46202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47894-2023</t>
        </is>
      </c>
      <c r="B57" s="1" t="n">
        <v>45204</v>
      </c>
      <c r="C57" s="1" t="n">
        <v>46202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47624-2023</t>
        </is>
      </c>
      <c r="B58" s="1" t="n">
        <v>45203</v>
      </c>
      <c r="C58" s="1" t="n">
        <v>46202</v>
      </c>
      <c r="D58" t="inlineStr">
        <is>
          <t>VÄRMLANDS LÄN</t>
        </is>
      </c>
      <c r="E58" t="inlineStr">
        <is>
          <t>STORFORS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57792-2022</t>
        </is>
      </c>
      <c r="B59" s="1" t="n">
        <v>44897</v>
      </c>
      <c r="C59" s="1" t="n">
        <v>46202</v>
      </c>
      <c r="D59" t="inlineStr">
        <is>
          <t>VÄRMLANDS LÄN</t>
        </is>
      </c>
      <c r="E59" t="inlineStr">
        <is>
          <t>STORFORS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48591-2024</t>
        </is>
      </c>
      <c r="B60" s="1" t="n">
        <v>45593</v>
      </c>
      <c r="C60" s="1" t="n">
        <v>46202</v>
      </c>
      <c r="D60" t="inlineStr">
        <is>
          <t>VÄRMLANDS LÄN</t>
        </is>
      </c>
      <c r="E60" t="inlineStr">
        <is>
          <t>STORFORS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39025-2023</t>
        </is>
      </c>
      <c r="B61" s="1" t="n">
        <v>45163</v>
      </c>
      <c r="C61" s="1" t="n">
        <v>46202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28255-2025</t>
        </is>
      </c>
      <c r="B62" s="1" t="n">
        <v>45818</v>
      </c>
      <c r="C62" s="1" t="n">
        <v>46202</v>
      </c>
      <c r="D62" t="inlineStr">
        <is>
          <t>VÄRMLANDS LÄN</t>
        </is>
      </c>
      <c r="E62" t="inlineStr">
        <is>
          <t>STORFORS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2037-2023</t>
        </is>
      </c>
      <c r="B63" s="1" t="n">
        <v>44939</v>
      </c>
      <c r="C63" s="1" t="n">
        <v>46202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21929-2023</t>
        </is>
      </c>
      <c r="B64" s="1" t="n">
        <v>45068</v>
      </c>
      <c r="C64" s="1" t="n">
        <v>46202</v>
      </c>
      <c r="D64" t="inlineStr">
        <is>
          <t>VÄRMLANDS LÄN</t>
        </is>
      </c>
      <c r="E64" t="inlineStr">
        <is>
          <t>STORFORS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59449-2022</t>
        </is>
      </c>
      <c r="B65" s="1" t="n">
        <v>44907</v>
      </c>
      <c r="C65" s="1" t="n">
        <v>46202</v>
      </c>
      <c r="D65" t="inlineStr">
        <is>
          <t>VÄRMLANDS LÄN</t>
        </is>
      </c>
      <c r="E65" t="inlineStr">
        <is>
          <t>STORFORS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28467-2022</t>
        </is>
      </c>
      <c r="B66" s="1" t="n">
        <v>44747</v>
      </c>
      <c r="C66" s="1" t="n">
        <v>46202</v>
      </c>
      <c r="D66" t="inlineStr">
        <is>
          <t>VÄRMLANDS LÄN</t>
        </is>
      </c>
      <c r="E66" t="inlineStr">
        <is>
          <t>STORFORS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17756-2023</t>
        </is>
      </c>
      <c r="B67" s="1" t="n">
        <v>45037</v>
      </c>
      <c r="C67" s="1" t="n">
        <v>46202</v>
      </c>
      <c r="D67" t="inlineStr">
        <is>
          <t>VÄRMLANDS LÄN</t>
        </is>
      </c>
      <c r="E67" t="inlineStr">
        <is>
          <t>STORFORS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30587-2023</t>
        </is>
      </c>
      <c r="B68" s="1" t="n">
        <v>45112</v>
      </c>
      <c r="C68" s="1" t="n">
        <v>46202</v>
      </c>
      <c r="D68" t="inlineStr">
        <is>
          <t>VÄRMLANDS LÄN</t>
        </is>
      </c>
      <c r="E68" t="inlineStr">
        <is>
          <t>STORFORS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16359-2023</t>
        </is>
      </c>
      <c r="B69" s="1" t="n">
        <v>45028</v>
      </c>
      <c r="C69" s="1" t="n">
        <v>46202</v>
      </c>
      <c r="D69" t="inlineStr">
        <is>
          <t>VÄRMLANDS LÄN</t>
        </is>
      </c>
      <c r="E69" t="inlineStr">
        <is>
          <t>STORFORS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26189-2024</t>
        </is>
      </c>
      <c r="B70" s="1" t="n">
        <v>45468</v>
      </c>
      <c r="C70" s="1" t="n">
        <v>46202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53388-2024</t>
        </is>
      </c>
      <c r="B71" s="1" t="n">
        <v>45614</v>
      </c>
      <c r="C71" s="1" t="n">
        <v>46202</v>
      </c>
      <c r="D71" t="inlineStr">
        <is>
          <t>VÄRMLANDS LÄN</t>
        </is>
      </c>
      <c r="E71" t="inlineStr">
        <is>
          <t>STORFORS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53202-2023</t>
        </is>
      </c>
      <c r="B72" s="1" t="n">
        <v>45229</v>
      </c>
      <c r="C72" s="1" t="n">
        <v>46202</v>
      </c>
      <c r="D72" t="inlineStr">
        <is>
          <t>VÄRMLANDS LÄN</t>
        </is>
      </c>
      <c r="E72" t="inlineStr">
        <is>
          <t>STORFORS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8613-2024</t>
        </is>
      </c>
      <c r="B73" s="1" t="n">
        <v>45355</v>
      </c>
      <c r="C73" s="1" t="n">
        <v>46202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53353-2024</t>
        </is>
      </c>
      <c r="B74" s="1" t="n">
        <v>45614</v>
      </c>
      <c r="C74" s="1" t="n">
        <v>46202</v>
      </c>
      <c r="D74" t="inlineStr">
        <is>
          <t>VÄRMLANDS LÄN</t>
        </is>
      </c>
      <c r="E74" t="inlineStr">
        <is>
          <t>STORFORS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48309-2021</t>
        </is>
      </c>
      <c r="B75" s="1" t="n">
        <v>44450</v>
      </c>
      <c r="C75" s="1" t="n">
        <v>46202</v>
      </c>
      <c r="D75" t="inlineStr">
        <is>
          <t>VÄRMLANDS LÄN</t>
        </is>
      </c>
      <c r="E75" t="inlineStr">
        <is>
          <t>STORFORS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58586-2024</t>
        </is>
      </c>
      <c r="B76" s="1" t="n">
        <v>45635</v>
      </c>
      <c r="C76" s="1" t="n">
        <v>46202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11452-2024</t>
        </is>
      </c>
      <c r="B77" s="1" t="n">
        <v>45372</v>
      </c>
      <c r="C77" s="1" t="n">
        <v>46202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24846-2022</t>
        </is>
      </c>
      <c r="B78" s="1" t="n">
        <v>44728</v>
      </c>
      <c r="C78" s="1" t="n">
        <v>46202</v>
      </c>
      <c r="D78" t="inlineStr">
        <is>
          <t>VÄRMLANDS LÄN</t>
        </is>
      </c>
      <c r="E78" t="inlineStr">
        <is>
          <t>STORFORS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33273-2025</t>
        </is>
      </c>
      <c r="B79" s="1" t="n">
        <v>45840</v>
      </c>
      <c r="C79" s="1" t="n">
        <v>46202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33143-2025</t>
        </is>
      </c>
      <c r="B80" s="1" t="n">
        <v>45840</v>
      </c>
      <c r="C80" s="1" t="n">
        <v>46202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8269-2025</t>
        </is>
      </c>
      <c r="B81" s="1" t="n">
        <v>45708</v>
      </c>
      <c r="C81" s="1" t="n">
        <v>46202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23279-2024</t>
        </is>
      </c>
      <c r="B82" s="1" t="n">
        <v>45453</v>
      </c>
      <c r="C82" s="1" t="n">
        <v>46202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37145-2025</t>
        </is>
      </c>
      <c r="B83" s="1" t="n">
        <v>45875</v>
      </c>
      <c r="C83" s="1" t="n">
        <v>46202</v>
      </c>
      <c r="D83" t="inlineStr">
        <is>
          <t>VÄRMLANDS LÄN</t>
        </is>
      </c>
      <c r="E83" t="inlineStr">
        <is>
          <t>STORFORS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37716-2025</t>
        </is>
      </c>
      <c r="B84" s="1" t="n">
        <v>45881</v>
      </c>
      <c r="C84" s="1" t="n">
        <v>46202</v>
      </c>
      <c r="D84" t="inlineStr">
        <is>
          <t>VÄRMLANDS LÄN</t>
        </is>
      </c>
      <c r="E84" t="inlineStr">
        <is>
          <t>STORFORS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3452-2025</t>
        </is>
      </c>
      <c r="B85" s="1" t="n">
        <v>45680</v>
      </c>
      <c r="C85" s="1" t="n">
        <v>46202</v>
      </c>
      <c r="D85" t="inlineStr">
        <is>
          <t>VÄRMLANDS LÄN</t>
        </is>
      </c>
      <c r="E85" t="inlineStr">
        <is>
          <t>STORFORS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35370-2023</t>
        </is>
      </c>
      <c r="B86" s="1" t="n">
        <v>45146</v>
      </c>
      <c r="C86" s="1" t="n">
        <v>46202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53912-2024</t>
        </is>
      </c>
      <c r="B87" s="1" t="n">
        <v>45615</v>
      </c>
      <c r="C87" s="1" t="n">
        <v>46202</v>
      </c>
      <c r="D87" t="inlineStr">
        <is>
          <t>VÄRMLANDS LÄN</t>
        </is>
      </c>
      <c r="E87" t="inlineStr">
        <is>
          <t>STORFORS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39623-2025</t>
        </is>
      </c>
      <c r="B88" s="1" t="n">
        <v>45890</v>
      </c>
      <c r="C88" s="1" t="n">
        <v>46202</v>
      </c>
      <c r="D88" t="inlineStr">
        <is>
          <t>VÄRMLANDS LÄN</t>
        </is>
      </c>
      <c r="E88" t="inlineStr">
        <is>
          <t>STORFORS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52905-2025</t>
        </is>
      </c>
      <c r="B89" s="1" t="n">
        <v>45957</v>
      </c>
      <c r="C89" s="1" t="n">
        <v>46202</v>
      </c>
      <c r="D89" t="inlineStr">
        <is>
          <t>VÄRMLANDS LÄN</t>
        </is>
      </c>
      <c r="E89" t="inlineStr">
        <is>
          <t>STORFORS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49596-2024</t>
        </is>
      </c>
      <c r="B90" s="1" t="n">
        <v>45596</v>
      </c>
      <c r="C90" s="1" t="n">
        <v>46202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53990-2025</t>
        </is>
      </c>
      <c r="B91" s="1" t="n">
        <v>45961</v>
      </c>
      <c r="C91" s="1" t="n">
        <v>46202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52922-2025</t>
        </is>
      </c>
      <c r="B92" s="1" t="n">
        <v>45957</v>
      </c>
      <c r="C92" s="1" t="n">
        <v>46202</v>
      </c>
      <c r="D92" t="inlineStr">
        <is>
          <t>VÄRMLANDS LÄN</t>
        </is>
      </c>
      <c r="E92" t="inlineStr">
        <is>
          <t>STORFORS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41214-2023</t>
        </is>
      </c>
      <c r="B93" s="1" t="n">
        <v>45174</v>
      </c>
      <c r="C93" s="1" t="n">
        <v>46202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26230-2024</t>
        </is>
      </c>
      <c r="B94" s="1" t="n">
        <v>45468</v>
      </c>
      <c r="C94" s="1" t="n">
        <v>46202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14605-2024</t>
        </is>
      </c>
      <c r="B95" s="1" t="n">
        <v>45396</v>
      </c>
      <c r="C95" s="1" t="n">
        <v>46202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213-2025</t>
        </is>
      </c>
      <c r="B96" s="1" t="n">
        <v>45660</v>
      </c>
      <c r="C96" s="1" t="n">
        <v>46202</v>
      </c>
      <c r="D96" t="inlineStr">
        <is>
          <t>VÄRMLANDS LÄN</t>
        </is>
      </c>
      <c r="E96" t="inlineStr">
        <is>
          <t>STORFORS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55234-2025</t>
        </is>
      </c>
      <c r="B97" s="1" t="n">
        <v>45968</v>
      </c>
      <c r="C97" s="1" t="n">
        <v>46202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46612-2025</t>
        </is>
      </c>
      <c r="B98" s="1" t="n">
        <v>45926</v>
      </c>
      <c r="C98" s="1" t="n">
        <v>46202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55818-2025</t>
        </is>
      </c>
      <c r="B99" s="1" t="n">
        <v>45972</v>
      </c>
      <c r="C99" s="1" t="n">
        <v>46202</v>
      </c>
      <c r="D99" t="inlineStr">
        <is>
          <t>VÄRMLANDS LÄN</t>
        </is>
      </c>
      <c r="E99" t="inlineStr">
        <is>
          <t>STORFORS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56525-2025</t>
        </is>
      </c>
      <c r="B100" s="1" t="n">
        <v>45975</v>
      </c>
      <c r="C100" s="1" t="n">
        <v>46202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56206-2025</t>
        </is>
      </c>
      <c r="B101" s="1" t="n">
        <v>45974</v>
      </c>
      <c r="C101" s="1" t="n">
        <v>46202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24820-2025</t>
        </is>
      </c>
      <c r="B102" s="1" t="n">
        <v>45799</v>
      </c>
      <c r="C102" s="1" t="n">
        <v>46202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60511-2025</t>
        </is>
      </c>
      <c r="B103" s="1" t="n">
        <v>45995</v>
      </c>
      <c r="C103" s="1" t="n">
        <v>46202</v>
      </c>
      <c r="D103" t="inlineStr">
        <is>
          <t>VÄRMLANDS LÄN</t>
        </is>
      </c>
      <c r="E103" t="inlineStr">
        <is>
          <t>STORFORS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61149-2025</t>
        </is>
      </c>
      <c r="B104" s="1" t="n">
        <v>46000</v>
      </c>
      <c r="C104" s="1" t="n">
        <v>46202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61123-2025</t>
        </is>
      </c>
      <c r="B105" s="1" t="n">
        <v>46000</v>
      </c>
      <c r="C105" s="1" t="n">
        <v>46202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63572-2025</t>
        </is>
      </c>
      <c r="B106" s="1" t="n">
        <v>46013</v>
      </c>
      <c r="C106" s="1" t="n">
        <v>46202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62987-2025</t>
        </is>
      </c>
      <c r="B107" s="1" t="n">
        <v>46009</v>
      </c>
      <c r="C107" s="1" t="n">
        <v>46202</v>
      </c>
      <c r="D107" t="inlineStr">
        <is>
          <t>VÄRMLANDS LÄN</t>
        </is>
      </c>
      <c r="E107" t="inlineStr">
        <is>
          <t>STORFORS</t>
        </is>
      </c>
      <c r="F107" t="inlineStr">
        <is>
          <t>Naturvårdsverket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59146-2025</t>
        </is>
      </c>
      <c r="B108" s="1" t="n">
        <v>45988</v>
      </c>
      <c r="C108" s="1" t="n">
        <v>46202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49580-2025</t>
        </is>
      </c>
      <c r="B109" s="1" t="n">
        <v>45939</v>
      </c>
      <c r="C109" s="1" t="n">
        <v>46202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63080-2025</t>
        </is>
      </c>
      <c r="B110" s="1" t="n">
        <v>46009</v>
      </c>
      <c r="C110" s="1" t="n">
        <v>46202</v>
      </c>
      <c r="D110" t="inlineStr">
        <is>
          <t>VÄRMLANDS LÄN</t>
        </is>
      </c>
      <c r="E110" t="inlineStr">
        <is>
          <t>STORFORS</t>
        </is>
      </c>
      <c r="F110" t="inlineStr">
        <is>
          <t>Naturvårdsverket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44178-2025</t>
        </is>
      </c>
      <c r="B111" s="1" t="n">
        <v>45915</v>
      </c>
      <c r="C111" s="1" t="n">
        <v>46202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4455-2026</t>
        </is>
      </c>
      <c r="B112" s="1" t="n">
        <v>46045</v>
      </c>
      <c r="C112" s="1" t="n">
        <v>46202</v>
      </c>
      <c r="D112" t="inlineStr">
        <is>
          <t>VÄRMLANDS LÄN</t>
        </is>
      </c>
      <c r="E112" t="inlineStr">
        <is>
          <t>STORFORS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4868-2026</t>
        </is>
      </c>
      <c r="B113" s="1" t="n">
        <v>46048</v>
      </c>
      <c r="C113" s="1" t="n">
        <v>46202</v>
      </c>
      <c r="D113" t="inlineStr">
        <is>
          <t>VÄRMLANDS LÄN</t>
        </is>
      </c>
      <c r="E113" t="inlineStr">
        <is>
          <t>STORFORS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7028-2026</t>
        </is>
      </c>
      <c r="B114" s="1" t="n">
        <v>46057</v>
      </c>
      <c r="C114" s="1" t="n">
        <v>46202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7427-2026</t>
        </is>
      </c>
      <c r="B115" s="1" t="n">
        <v>46059</v>
      </c>
      <c r="C115" s="1" t="n">
        <v>46202</v>
      </c>
      <c r="D115" t="inlineStr">
        <is>
          <t>VÄRMLANDS LÄN</t>
        </is>
      </c>
      <c r="E115" t="inlineStr">
        <is>
          <t>STORFORS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7444-2026</t>
        </is>
      </c>
      <c r="B116" s="1" t="n">
        <v>46059</v>
      </c>
      <c r="C116" s="1" t="n">
        <v>46202</v>
      </c>
      <c r="D116" t="inlineStr">
        <is>
          <t>VÄRMLANDS LÄN</t>
        </is>
      </c>
      <c r="E116" t="inlineStr">
        <is>
          <t>STORFORS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7447-2026</t>
        </is>
      </c>
      <c r="B117" s="1" t="n">
        <v>46059</v>
      </c>
      <c r="C117" s="1" t="n">
        <v>46202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13185-2026</t>
        </is>
      </c>
      <c r="B118" s="1" t="n">
        <v>46093</v>
      </c>
      <c r="C118" s="1" t="n">
        <v>46202</v>
      </c>
      <c r="D118" t="inlineStr">
        <is>
          <t>VÄRMLANDS LÄN</t>
        </is>
      </c>
      <c r="E118" t="inlineStr">
        <is>
          <t>STORFORS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13960-2026</t>
        </is>
      </c>
      <c r="B119" s="1" t="n">
        <v>46098</v>
      </c>
      <c r="C119" s="1" t="n">
        <v>46202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14435-2026</t>
        </is>
      </c>
      <c r="B120" s="1" t="n">
        <v>46100</v>
      </c>
      <c r="C120" s="1" t="n">
        <v>46202</v>
      </c>
      <c r="D120" t="inlineStr">
        <is>
          <t>VÄRMLANDS LÄN</t>
        </is>
      </c>
      <c r="E120" t="inlineStr">
        <is>
          <t>STORFORS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16421-2026</t>
        </is>
      </c>
      <c r="B121" s="1" t="n">
        <v>46111</v>
      </c>
      <c r="C121" s="1" t="n">
        <v>46202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18757-2026</t>
        </is>
      </c>
      <c r="B122" s="1" t="n">
        <v>46128</v>
      </c>
      <c r="C122" s="1" t="n">
        <v>46202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24442-2026</t>
        </is>
      </c>
      <c r="B123" s="1" t="n">
        <v>46170</v>
      </c>
      <c r="C123" s="1" t="n">
        <v>46202</v>
      </c>
      <c r="D123" t="inlineStr">
        <is>
          <t>VÄRMLANDS LÄN</t>
        </is>
      </c>
      <c r="E123" t="inlineStr">
        <is>
          <t>STORFORS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2363-2023</t>
        </is>
      </c>
      <c r="B124" s="1" t="n">
        <v>44938</v>
      </c>
      <c r="C124" s="1" t="n">
        <v>46202</v>
      </c>
      <c r="D124" t="inlineStr">
        <is>
          <t>VÄRMLANDS LÄN</t>
        </is>
      </c>
      <c r="E124" t="inlineStr">
        <is>
          <t>STORFORS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26067-2026</t>
        </is>
      </c>
      <c r="B125" s="1" t="n">
        <v>46181</v>
      </c>
      <c r="C125" s="1" t="n">
        <v>46202</v>
      </c>
      <c r="D125" t="inlineStr">
        <is>
          <t>VÄRMLANDS LÄN</t>
        </is>
      </c>
      <c r="E125" t="inlineStr">
        <is>
          <t>STORFORS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26075-2026</t>
        </is>
      </c>
      <c r="B126" s="1" t="n">
        <v>46181</v>
      </c>
      <c r="C126" s="1" t="n">
        <v>46202</v>
      </c>
      <c r="D126" t="inlineStr">
        <is>
          <t>VÄRMLANDS LÄN</t>
        </is>
      </c>
      <c r="E126" t="inlineStr">
        <is>
          <t>STORFORS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52834-2023</t>
        </is>
      </c>
      <c r="B127" s="1" t="n">
        <v>45226</v>
      </c>
      <c r="C127" s="1" t="n">
        <v>46202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13288-2024</t>
        </is>
      </c>
      <c r="B128" s="1" t="n">
        <v>45386</v>
      </c>
      <c r="C128" s="1" t="n">
        <v>46202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20311-2026</t>
        </is>
      </c>
      <c r="B129" s="1" t="n">
        <v>46139</v>
      </c>
      <c r="C129" s="1" t="n">
        <v>46202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20453-2026</t>
        </is>
      </c>
      <c r="B130" s="1" t="n">
        <v>46140</v>
      </c>
      <c r="C130" s="1" t="n">
        <v>46202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24406-2026</t>
        </is>
      </c>
      <c r="B131" s="1" t="n">
        <v>46169</v>
      </c>
      <c r="C131" s="1" t="n">
        <v>46202</v>
      </c>
      <c r="D131" t="inlineStr">
        <is>
          <t>VÄRMLANDS LÄN</t>
        </is>
      </c>
      <c r="E131" t="inlineStr">
        <is>
          <t>STORFORS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20527-2026</t>
        </is>
      </c>
      <c r="B132" s="1" t="n">
        <v>46140</v>
      </c>
      <c r="C132" s="1" t="n">
        <v>46202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20533-2026</t>
        </is>
      </c>
      <c r="B133" s="1" t="n">
        <v>46140</v>
      </c>
      <c r="C133" s="1" t="n">
        <v>46202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20543-2026</t>
        </is>
      </c>
      <c r="B134" s="1" t="n">
        <v>46140</v>
      </c>
      <c r="C134" s="1" t="n">
        <v>46202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5881-2025</t>
        </is>
      </c>
      <c r="B135" s="1" t="n">
        <v>45695</v>
      </c>
      <c r="C135" s="1" t="n">
        <v>46202</v>
      </c>
      <c r="D135" t="inlineStr">
        <is>
          <t>VÄRMLANDS LÄN</t>
        </is>
      </c>
      <c r="E135" t="inlineStr">
        <is>
          <t>STORFORS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20465-2026</t>
        </is>
      </c>
      <c r="B136" s="1" t="n">
        <v>46140</v>
      </c>
      <c r="C136" s="1" t="n">
        <v>46202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20749-2026</t>
        </is>
      </c>
      <c r="B137" s="1" t="n">
        <v>46141</v>
      </c>
      <c r="C137" s="1" t="n">
        <v>46202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20449-2026</t>
        </is>
      </c>
      <c r="B138" s="1" t="n">
        <v>46140</v>
      </c>
      <c r="C138" s="1" t="n">
        <v>46202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21035-2026</t>
        </is>
      </c>
      <c r="B139" s="1" t="n">
        <v>46146</v>
      </c>
      <c r="C139" s="1" t="n">
        <v>46202</v>
      </c>
      <c r="D139" t="inlineStr">
        <is>
          <t>VÄRMLANDS LÄN</t>
        </is>
      </c>
      <c r="E139" t="inlineStr">
        <is>
          <t>STORFORS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21959-2026</t>
        </is>
      </c>
      <c r="B140" s="1" t="n">
        <v>46152</v>
      </c>
      <c r="C140" s="1" t="n">
        <v>46202</v>
      </c>
      <c r="D140" t="inlineStr">
        <is>
          <t>VÄRMLANDS LÄN</t>
        </is>
      </c>
      <c r="E140" t="inlineStr">
        <is>
          <t>STORFORS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28148-2026</t>
        </is>
      </c>
      <c r="B141" s="1" t="n">
        <v>46195</v>
      </c>
      <c r="C141" s="1" t="n">
        <v>46202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61586-2025</t>
        </is>
      </c>
      <c r="B142" s="1" t="n">
        <v>46002</v>
      </c>
      <c r="C142" s="1" t="n">
        <v>46202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46202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58451-2025</t>
        </is>
      </c>
      <c r="B144" s="1" t="n">
        <v>45985</v>
      </c>
      <c r="C144" s="1" t="n">
        <v>46202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28218-2026</t>
        </is>
      </c>
      <c r="B145" s="1" t="n">
        <v>46196</v>
      </c>
      <c r="C145" s="1" t="n">
        <v>46202</v>
      </c>
      <c r="D145" t="inlineStr">
        <is>
          <t>VÄRMLANDS LÄN</t>
        </is>
      </c>
      <c r="E145" t="inlineStr">
        <is>
          <t>STORFORS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28979-2026</t>
        </is>
      </c>
      <c r="B146" s="1" t="n">
        <v>46199</v>
      </c>
      <c r="C146" s="1" t="n">
        <v>46202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2026-06-29T00:56:05Z</dcterms:created>
  <dcterms:modified xmlns:dcterms="http://purl.org/dc/terms/" xmlns:xsi="http://www.w3.org/2001/XMLSchema-instance" xsi:type="dcterms:W3CDTF">2026-06-29T00:56:05Z</dcterms:modified>
</cp:coreProperties>
</file>