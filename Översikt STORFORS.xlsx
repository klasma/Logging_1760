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37716-2025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45881</v>
      </c>
      <c r="E3" s="1" t="n">
        <v>46322</v>
      </c>
      <c r="F3" t="inlineStr">
        <is>
          <t>VÄRMLANDS LÄN</t>
        </is>
      </c>
      <c r="G3" t="inlineStr">
        <is>
          <t>STORFORS</t>
        </is>
      </c>
      <c r="I3" t="n">
        <v>4.5</v>
      </c>
      <c r="J3" t="n">
        <v>2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8</v>
      </c>
      <c r="U3" t="n">
        <v>8</v>
      </c>
      <c r="V3" s="2" t="inlineStr">
        <is>
          <t>Kattfotslav
Tretåig hackspett
Ullticka
Spillkråka</t>
        </is>
      </c>
      <c r="W3">
        <f>HYPERLINK("https://klasma.github.io/Logging_1760/artfynd/A 37716-2025 artfynd.xlsx", "A 37716-2025")</f>
        <v/>
      </c>
      <c r="X3">
        <f>HYPERLINK("https://klasma.github.io/Logging_1760/kartor/A 37716-2025 karta.png", "A 37716-2025")</f>
        <v/>
      </c>
      <c r="Y3">
        <f>HYPERLINK("https://klasma.github.io/Logging_1760/kartor_geotiff/A 37716-2025 georefererad karta.tif", "A 37716-2025")</f>
        <v/>
      </c>
      <c r="AA3">
        <f>HYPERLINK("https://klasma.github.io/Logging_1760/klagomål/A 37716-2025 FSC-klagomål.docx", "A 37716-2025")</f>
        <v/>
      </c>
      <c r="AB3">
        <f>HYPERLINK("https://klasma.github.io/Logging_1760/klagomålsmail/A 37716-2025 FSC-klagomål mail.docx", "A 37716-2025")</f>
        <v/>
      </c>
      <c r="AC3">
        <f>HYPERLINK("https://klasma.github.io/Logging_1760/tillsyn/A 37716-2025 tillsynsbegäran.docx", "A 37716-2025")</f>
        <v/>
      </c>
      <c r="AD3">
        <f>HYPERLINK("https://klasma.github.io/Logging_1760/tillsynsmail/A 37716-2025 tillsynsbegäran mail.docx", "A 37716-2025")</f>
        <v/>
      </c>
      <c r="AE3">
        <f>HYPERLINK("https://klasma.github.io/Logging_1760/fåglar/A 37716-2025 prioriterade fågelarter.docx", "A 37716-2025")</f>
        <v/>
      </c>
    </row>
    <row r="4" ht="15" customHeight="1">
      <c r="A4" t="inlineStr">
        <is>
          <t>A 51171-2022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44868</v>
      </c>
      <c r="E4" s="1" t="n">
        <v>46322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0.6</v>
      </c>
      <c r="J4" t="n">
        <v>0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2</v>
      </c>
      <c r="T4" t="n">
        <v>2</v>
      </c>
      <c r="U4" t="n">
        <v>0</v>
      </c>
      <c r="V4" s="2" t="inlineStr">
        <is>
          <t>Brunfläckig pärlemorfjäril
Ängsblåvinge</t>
        </is>
      </c>
      <c r="W4">
        <f>HYPERLINK("https://klasma.github.io/Logging_1760/artfynd/A 51171-2022 artfynd.xlsx", "A 51171-2022")</f>
        <v/>
      </c>
      <c r="X4">
        <f>HYPERLINK("https://klasma.github.io/Logging_1760/kartor/A 51171-2022 karta.png", "A 51171-2022")</f>
        <v/>
      </c>
      <c r="Y4">
        <f>HYPERLINK("https://klasma.github.io/Logging_1760/kartor_geotiff/A 51171-2022 georefererad karta.tif", "A 51171-2022")</f>
        <v/>
      </c>
      <c r="AA4">
        <f>HYPERLINK("https://klasma.github.io/Logging_1760/klagomål/A 51171-2022 FSC-klagomål.docx", "A 51171-2022")</f>
        <v/>
      </c>
      <c r="AB4">
        <f>HYPERLINK("https://klasma.github.io/Logging_1760/klagomålsmail/A 51171-2022 FSC-klagomål mail.docx", "A 51171-2022")</f>
        <v/>
      </c>
      <c r="AC4">
        <f>HYPERLINK("https://klasma.github.io/Logging_1760/tillsyn/A 51171-2022 tillsynsbegäran.docx", "A 51171-2022")</f>
        <v/>
      </c>
      <c r="AD4">
        <f>HYPERLINK("https://klasma.github.io/Logging_1760/tillsynsmail/A 51171-2022 tillsynsbegäran mail.docx", "A 51171-2022")</f>
        <v/>
      </c>
    </row>
    <row r="5" ht="15" customHeight="1">
      <c r="A5" t="inlineStr">
        <is>
          <t>A 31441-2026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46220</v>
      </c>
      <c r="E5" s="1" t="n">
        <v>46322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4.8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Talltita
Gråsiska</t>
        </is>
      </c>
      <c r="W5">
        <f>HYPERLINK("https://klasma.github.io/Logging_1760/artfynd/A 31441-2026 artfynd.xlsx", "A 31441-2026")</f>
        <v/>
      </c>
      <c r="X5">
        <f>HYPERLINK("https://klasma.github.io/Logging_1760/kartor/A 31441-2026 karta.png", "A 31441-2026")</f>
        <v/>
      </c>
      <c r="Y5">
        <f>HYPERLINK("https://klasma.github.io/Logging_1760/kartor_geotiff/A 31441-2026 georefererad karta.tif", "A 31441-2026")</f>
        <v/>
      </c>
      <c r="AA5">
        <f>HYPERLINK("https://klasma.github.io/Logging_1760/klagomål/A 31441-2026 FSC-klagomål.docx", "A 31441-2026")</f>
        <v/>
      </c>
      <c r="AB5">
        <f>HYPERLINK("https://klasma.github.io/Logging_1760/klagomålsmail/A 31441-2026 FSC-klagomål mail.docx", "A 31441-2026")</f>
        <v/>
      </c>
      <c r="AC5">
        <f>HYPERLINK("https://klasma.github.io/Logging_1760/tillsyn/A 31441-2026 tillsynsbegäran.docx", "A 31441-2026")</f>
        <v/>
      </c>
      <c r="AD5">
        <f>HYPERLINK("https://klasma.github.io/Logging_1760/tillsynsmail/A 31441-2026 tillsynsbegäran mail.docx", "A 31441-2026")</f>
        <v/>
      </c>
      <c r="AE5">
        <f>HYPERLINK("https://klasma.github.io/Logging_1760/fåglar/A 31441-2026 prioriterade fågelarter.docx", "A 31441-2026")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46322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46322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46322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13636-2024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45390</v>
      </c>
      <c r="E9" s="1" t="n">
        <v>46322</v>
      </c>
      <c r="F9" t="inlineStr">
        <is>
          <t>VÄRMLANDS LÄN</t>
        </is>
      </c>
      <c r="G9" t="inlineStr">
        <is>
          <t>STORFORS</t>
        </is>
      </c>
      <c r="I9" t="n">
        <v>0.9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2</v>
      </c>
      <c r="V9" s="2" t="inlineStr">
        <is>
          <t>Ullticka</t>
        </is>
      </c>
      <c r="W9">
        <f>HYPERLINK("https://klasma.github.io/Logging_1760/artfynd/A 13636-2024 artfynd.xlsx", "A 13636-2024")</f>
        <v/>
      </c>
      <c r="X9">
        <f>HYPERLINK("https://klasma.github.io/Logging_1760/kartor/A 13636-2024 karta.png", "A 13636-2024")</f>
        <v/>
      </c>
      <c r="Y9">
        <f>HYPERLINK("https://klasma.github.io/Logging_1760/kartor_geotiff/A 13636-2024 georefererad karta.tif", "A 13636-2024")</f>
        <v/>
      </c>
      <c r="AA9">
        <f>HYPERLINK("https://klasma.github.io/Logging_1760/klagomål/A 13636-2024 FSC-klagomål.docx", "A 13636-2024")</f>
        <v/>
      </c>
      <c r="AB9">
        <f>HYPERLINK("https://klasma.github.io/Logging_1760/klagomålsmail/A 13636-2024 FSC-klagomål mail.docx", "A 13636-2024")</f>
        <v/>
      </c>
      <c r="AC9">
        <f>HYPERLINK("https://klasma.github.io/Logging_1760/tillsyn/A 13636-2024 tillsynsbegäran.docx", "A 13636-2024")</f>
        <v/>
      </c>
      <c r="AD9">
        <f>HYPERLINK("https://klasma.github.io/Logging_1760/tillsynsmail/A 13636-2024 tillsynsbegäran mail.docx", "A 13636-2024")</f>
        <v/>
      </c>
    </row>
    <row r="10" ht="15" customHeight="1">
      <c r="A10" t="inlineStr">
        <is>
          <t>A 39769-2026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46322</v>
      </c>
      <c r="F10" t="inlineStr">
        <is>
          <t>VÄRMLANDS LÄN</t>
        </is>
      </c>
      <c r="G10" t="inlineStr">
        <is>
          <t>STORFORS</t>
        </is>
      </c>
      <c r="H10" t="inlineStr">
        <is>
          <t>Bergvik skog väst AB</t>
        </is>
      </c>
      <c r="I10" t="n">
        <v>10.9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Igelkott</t>
        </is>
      </c>
      <c r="W10">
        <f>HYPERLINK("https://klasma.github.io/Logging_1760/artfynd/A 39769-2026 artfynd.xlsx", "A 39769-2026")</f>
        <v/>
      </c>
      <c r="X10">
        <f>HYPERLINK("https://klasma.github.io/Logging_1760/kartor/A 39769-2026 karta.png", "A 39769-2026")</f>
        <v/>
      </c>
      <c r="Y10">
        <f>HYPERLINK("https://klasma.github.io/Logging_1760/kartor_geotiff/A 39769-2026 georefererad karta.tif", "A 39769-2026")</f>
        <v/>
      </c>
      <c r="AA10">
        <f>HYPERLINK("https://klasma.github.io/Logging_1760/klagomål/A 39769-2026 FSC-klagomål.docx", "A 39769-2026")</f>
        <v/>
      </c>
      <c r="AB10">
        <f>HYPERLINK("https://klasma.github.io/Logging_1760/klagomålsmail/A 39769-2026 FSC-klagomål mail.docx", "A 39769-2026")</f>
        <v/>
      </c>
      <c r="AC10">
        <f>HYPERLINK("https://klasma.github.io/Logging_1760/tillsyn/A 39769-2026 tillsynsbegäran.docx", "A 39769-2026")</f>
        <v/>
      </c>
      <c r="AD10">
        <f>HYPERLINK("https://klasma.github.io/Logging_1760/tillsynsmail/A 39769-2026 tillsynsbegäran mail.docx", "A 39769-2026")</f>
        <v/>
      </c>
    </row>
    <row r="11" ht="15" customHeight="1">
      <c r="A11" t="inlineStr">
        <is>
          <t>A 46376-2023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46322</v>
      </c>
      <c r="F11" t="inlineStr">
        <is>
          <t>VÄRMLANDS LÄN</t>
        </is>
      </c>
      <c r="G11" t="inlineStr">
        <is>
          <t>STORFORS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HYPERLINK("https://klasma.github.io/Logging_1760/artfynd/A 46376-2023 artfynd.xlsx", "A 46376-2023")</f>
        <v/>
      </c>
      <c r="X11">
        <f>HYPERLINK("https://klasma.github.io/Logging_1760/kartor/A 46376-2023 karta.png", "A 46376-2023")</f>
        <v/>
      </c>
      <c r="Y11">
        <f>HYPERLINK("https://klasma.github.io/Logging_1760/kartor_geotiff/A 46376-2023 georefererad karta.tif", "A 46376-2023")</f>
        <v/>
      </c>
      <c r="AA11">
        <f>HYPERLINK("https://klasma.github.io/Logging_1760/klagomål/A 46376-2023 FSC-klagomål.docx", "A 46376-2023")</f>
        <v/>
      </c>
      <c r="AB11">
        <f>HYPERLINK("https://klasma.github.io/Logging_1760/klagomålsmail/A 46376-2023 FSC-klagomål mail.docx", "A 46376-2023")</f>
        <v/>
      </c>
      <c r="AC11">
        <f>HYPERLINK("https://klasma.github.io/Logging_1760/tillsyn/A 46376-2023 tillsynsbegäran.docx", "A 46376-2023")</f>
        <v/>
      </c>
      <c r="AD11">
        <f>HYPERLINK("https://klasma.github.io/Logging_1760/tillsynsmail/A 46376-2023 tillsynsbegäran mail.docx", "A 46376-2023")</f>
        <v/>
      </c>
    </row>
    <row r="12" ht="15" customHeight="1">
      <c r="A12" t="inlineStr">
        <is>
          <t>A 35089-2022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46322</v>
      </c>
      <c r="F12" t="inlineStr">
        <is>
          <t>VÄRMLANDS LÄN</t>
        </is>
      </c>
      <c r="G12" t="inlineStr">
        <is>
          <t>STORFORS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46322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46322</v>
      </c>
      <c r="F14" t="inlineStr">
        <is>
          <t>VÄRMLANDS LÄN</t>
        </is>
      </c>
      <c r="G14" t="inlineStr">
        <is>
          <t>STORFORS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33307-2022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44788</v>
      </c>
      <c r="E15" s="1" t="n">
        <v>46322</v>
      </c>
      <c r="F15" t="inlineStr">
        <is>
          <t>VÄRMLANDS LÄN</t>
        </is>
      </c>
      <c r="G15" t="inlineStr">
        <is>
          <t>STORFORS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46322</v>
      </c>
      <c r="F16" t="inlineStr">
        <is>
          <t>VÄRMLANDS LÄN</t>
        </is>
      </c>
      <c r="G16" t="inlineStr">
        <is>
          <t>STORFORS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46322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46322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45711</v>
      </c>
      <c r="E19" s="1" t="n">
        <v>46322</v>
      </c>
      <c r="F19" t="inlineStr">
        <is>
          <t>VÄRMLANDS LÄN</t>
        </is>
      </c>
      <c r="G19" t="inlineStr">
        <is>
          <t>STORFORS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39623-2025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45890</v>
      </c>
      <c r="E20" s="1" t="n">
        <v>46322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22935-2023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46322</v>
      </c>
      <c r="F21" t="inlineStr">
        <is>
          <t>VÄRMLANDS LÄN</t>
        </is>
      </c>
      <c r="G21" t="inlineStr">
        <is>
          <t>STORFORS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45174</v>
      </c>
      <c r="E22" s="1" t="n">
        <v>46322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70761-2021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46322</v>
      </c>
      <c r="F23" t="inlineStr">
        <is>
          <t>VÄRMLANDS LÄN</t>
        </is>
      </c>
      <c r="G23" t="inlineStr">
        <is>
          <t>STORFORS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46322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47728-2023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46322</v>
      </c>
      <c r="F25" t="inlineStr">
        <is>
          <t>VÄRMLANDS LÄN</t>
        </is>
      </c>
      <c r="G25" t="inlineStr">
        <is>
          <t>STORFORS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44897</v>
      </c>
      <c r="E26" s="1" t="n">
        <v>46322</v>
      </c>
      <c r="F26" t="inlineStr">
        <is>
          <t>VÄRMLANDS LÄN</t>
        </is>
      </c>
      <c r="G26" t="inlineStr">
        <is>
          <t>STORFORS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39025-2023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46322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45669</v>
      </c>
      <c r="E28" s="1" t="n">
        <v>46322</v>
      </c>
      <c r="F28" t="inlineStr">
        <is>
          <t>VÄRMLANDS LÄN</t>
        </is>
      </c>
      <c r="G28" t="inlineStr">
        <is>
          <t>STORFORS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28467-2022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46322</v>
      </c>
      <c r="F29" t="inlineStr">
        <is>
          <t>VÄRMLANDS LÄN</t>
        </is>
      </c>
      <c r="G29" t="inlineStr">
        <is>
          <t>STORFORS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46322</v>
      </c>
      <c r="F30" t="inlineStr">
        <is>
          <t>VÄRMLANDS LÄN</t>
        </is>
      </c>
      <c r="G30" t="inlineStr">
        <is>
          <t>STORFORS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46322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46322</v>
      </c>
      <c r="F32" t="inlineStr">
        <is>
          <t>VÄRMLANDS LÄN</t>
        </is>
      </c>
      <c r="G32" t="inlineStr">
        <is>
          <t>STORFORS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45453</v>
      </c>
      <c r="E33" s="1" t="n">
        <v>46322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45961</v>
      </c>
      <c r="E34" s="1" t="n">
        <v>46322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46322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52922-2025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45957</v>
      </c>
      <c r="E36" s="1" t="n">
        <v>46322</v>
      </c>
      <c r="F36" t="inlineStr">
        <is>
          <t>VÄRMLANDS LÄN</t>
        </is>
      </c>
      <c r="G36" t="inlineStr">
        <is>
          <t>STORFORS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46322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53912-2024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45615</v>
      </c>
      <c r="E38" s="1" t="n">
        <v>46322</v>
      </c>
      <c r="F38" t="inlineStr">
        <is>
          <t>VÄRMLANDS LÄN</t>
        </is>
      </c>
      <c r="G38" t="inlineStr">
        <is>
          <t>STORFORS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55818-2025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45972</v>
      </c>
      <c r="E39" s="1" t="n">
        <v>46322</v>
      </c>
      <c r="F39" t="inlineStr">
        <is>
          <t>VÄRMLANDS LÄN</t>
        </is>
      </c>
      <c r="G39" t="inlineStr">
        <is>
          <t>STORFORS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46322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45686</v>
      </c>
      <c r="E41" s="1" t="n">
        <v>46322</v>
      </c>
      <c r="F41" t="inlineStr">
        <is>
          <t>VÄRMLANDS LÄN</t>
        </is>
      </c>
      <c r="G41" t="inlineStr">
        <is>
          <t>STORFORS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46322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23.6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49596-2024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46322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54190-2023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46322</v>
      </c>
      <c r="F44" t="inlineStr">
        <is>
          <t>VÄRMLANDS LÄN</t>
        </is>
      </c>
      <c r="G44" t="inlineStr">
        <is>
          <t>STORFORS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14605-2024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45396</v>
      </c>
      <c r="E45" s="1" t="n">
        <v>46322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45660</v>
      </c>
      <c r="E46" s="1" t="n">
        <v>46322</v>
      </c>
      <c r="F46" t="inlineStr">
        <is>
          <t>VÄRMLANDS LÄN</t>
        </is>
      </c>
      <c r="G46" t="inlineStr">
        <is>
          <t>STORFORS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44692</v>
      </c>
      <c r="E47" s="1" t="n">
        <v>46322</v>
      </c>
      <c r="F47" t="inlineStr">
        <is>
          <t>VÄRMLANDS LÄN</t>
        </is>
      </c>
      <c r="G47" t="inlineStr">
        <is>
          <t>STORFORS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46322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41479-2024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45560</v>
      </c>
      <c r="E49" s="1" t="n">
        <v>46322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45995</v>
      </c>
      <c r="E50" s="1" t="n">
        <v>46322</v>
      </c>
      <c r="F50" t="inlineStr">
        <is>
          <t>VÄRMLANDS LÄN</t>
        </is>
      </c>
      <c r="G50" t="inlineStr">
        <is>
          <t>STORFORS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46322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44658</v>
      </c>
      <c r="E52" s="1" t="n">
        <v>46322</v>
      </c>
      <c r="F52" t="inlineStr">
        <is>
          <t>VÄRMLANDS LÄN</t>
        </is>
      </c>
      <c r="G52" t="inlineStr">
        <is>
          <t>STORFORS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46322</v>
      </c>
      <c r="F53" t="inlineStr">
        <is>
          <t>VÄRMLANDS LÄN</t>
        </is>
      </c>
      <c r="G53" t="inlineStr">
        <is>
          <t>STORFORS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46322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46000</v>
      </c>
      <c r="E55" s="1" t="n">
        <v>46322</v>
      </c>
      <c r="F55" t="inlineStr">
        <is>
          <t>VÄRMLANDS LÄN</t>
        </is>
      </c>
      <c r="G55" t="inlineStr">
        <is>
          <t>STORFORS</t>
        </is>
      </c>
      <c r="H55" t="inlineStr">
        <is>
          <t>Naturvårdsverket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46322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46322</v>
      </c>
      <c r="F57" t="inlineStr">
        <is>
          <t>VÄRMLANDS LÄN</t>
        </is>
      </c>
      <c r="G57" t="inlineStr">
        <is>
          <t>STORFORS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46013</v>
      </c>
      <c r="E58" s="1" t="n">
        <v>46322</v>
      </c>
      <c r="F58" t="inlineStr">
        <is>
          <t>VÄRMLANDS LÄN</t>
        </is>
      </c>
      <c r="G58" t="inlineStr">
        <is>
          <t>STORFORS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45153</v>
      </c>
      <c r="E59" s="1" t="n">
        <v>46322</v>
      </c>
      <c r="F59" t="inlineStr">
        <is>
          <t>VÄRMLANDS LÄN</t>
        </is>
      </c>
      <c r="G59" t="inlineStr">
        <is>
          <t>STORFORS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46322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9.9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46322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63080-2025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46322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15442-2024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46322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46322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20725-2023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46322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46203</v>
      </c>
      <c r="E66" s="1" t="n">
        <v>46322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45007</v>
      </c>
      <c r="E67" s="1" t="n">
        <v>46322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46322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46322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46203</v>
      </c>
      <c r="E70" s="1" t="n">
        <v>46322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46322</v>
      </c>
      <c r="F71" t="inlineStr">
        <is>
          <t>VÄRMLANDS LÄN</t>
        </is>
      </c>
      <c r="G71" t="inlineStr">
        <is>
          <t>STORFORS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46322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33143-2025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46322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44969</v>
      </c>
      <c r="E74" s="1" t="n">
        <v>46322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37145-2025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46322</v>
      </c>
      <c r="F75" t="inlineStr">
        <is>
          <t>VÄRMLANDS LÄN</t>
        </is>
      </c>
      <c r="G75" t="inlineStr">
        <is>
          <t>STORFORS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46322</v>
      </c>
      <c r="F76" t="inlineStr">
        <is>
          <t>VÄRMLANDS LÄN</t>
        </is>
      </c>
      <c r="G76" t="inlineStr">
        <is>
          <t>STORFORS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46322</v>
      </c>
      <c r="F77" t="inlineStr">
        <is>
          <t>VÄRMLANDS LÄN</t>
        </is>
      </c>
      <c r="G77" t="inlineStr">
        <is>
          <t>STORFORS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46322</v>
      </c>
      <c r="F78" t="inlineStr">
        <is>
          <t>VÄRMLANDS LÄN</t>
        </is>
      </c>
      <c r="G78" t="inlineStr">
        <is>
          <t>STORFORS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45680</v>
      </c>
      <c r="E79" s="1" t="n">
        <v>46322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46322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46322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46322</v>
      </c>
      <c r="F82" t="inlineStr">
        <is>
          <t>VÄRMLANDS LÄN</t>
        </is>
      </c>
      <c r="G82" t="inlineStr">
        <is>
          <t>STORFORS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30425-2026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46209</v>
      </c>
      <c r="E83" s="1" t="n">
        <v>46322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28979-2026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46199</v>
      </c>
      <c r="E84" s="1" t="n">
        <v>46322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45168</v>
      </c>
      <c r="E85" s="1" t="n">
        <v>46322</v>
      </c>
      <c r="F85" t="inlineStr">
        <is>
          <t>VÄRMLANDS LÄN</t>
        </is>
      </c>
      <c r="G85" t="inlineStr">
        <is>
          <t>STORFORS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45236</v>
      </c>
      <c r="E86" s="1" t="n">
        <v>46322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46322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46322</v>
      </c>
      <c r="F88" t="inlineStr">
        <is>
          <t>VÄRMLANDS LÄN</t>
        </is>
      </c>
      <c r="G88" t="inlineStr">
        <is>
          <t>STORFORS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45681</v>
      </c>
      <c r="E89" s="1" t="n">
        <v>46322</v>
      </c>
      <c r="F89" t="inlineStr">
        <is>
          <t>VÄRMLANDS LÄN</t>
        </is>
      </c>
      <c r="G89" t="inlineStr">
        <is>
          <t>STORFORS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46227</v>
      </c>
      <c r="E90" s="1" t="n">
        <v>46322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46232</v>
      </c>
      <c r="E91" s="1" t="n">
        <v>46322</v>
      </c>
      <c r="F91" t="inlineStr">
        <is>
          <t>VÄRMLANDS LÄN</t>
        </is>
      </c>
      <c r="G91" t="inlineStr">
        <is>
          <t>STORFORS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46322</v>
      </c>
      <c r="F92" t="inlineStr">
        <is>
          <t>VÄRMLANDS LÄN</t>
        </is>
      </c>
      <c r="G92" t="inlineStr">
        <is>
          <t>STORFORS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46322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46322</v>
      </c>
      <c r="F94" t="inlineStr">
        <is>
          <t>VÄRMLANDS LÄN</t>
        </is>
      </c>
      <c r="G94" t="inlineStr">
        <is>
          <t>STORFORS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44747</v>
      </c>
      <c r="E95" s="1" t="n">
        <v>46322</v>
      </c>
      <c r="F95" t="inlineStr">
        <is>
          <t>VÄRMLANDS LÄN</t>
        </is>
      </c>
      <c r="G95" t="inlineStr">
        <is>
          <t>STORFORS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46322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45520</v>
      </c>
      <c r="E97" s="1" t="n">
        <v>46322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47713-2024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45588</v>
      </c>
      <c r="E98" s="1" t="n">
        <v>46322</v>
      </c>
      <c r="F98" t="inlineStr">
        <is>
          <t>VÄRMLANDS LÄN</t>
        </is>
      </c>
      <c r="G98" t="inlineStr">
        <is>
          <t>STORFORS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46322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35.1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46322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46322</v>
      </c>
      <c r="F101" t="inlineStr">
        <is>
          <t>VÄRMLANDS LÄN</t>
        </is>
      </c>
      <c r="G101" t="inlineStr">
        <is>
          <t>STORFORS</t>
        </is>
      </c>
      <c r="H101" t="inlineStr">
        <is>
          <t>Naturvårdsverket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44939</v>
      </c>
      <c r="E102" s="1" t="n">
        <v>46322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45068</v>
      </c>
      <c r="E103" s="1" t="n">
        <v>46322</v>
      </c>
      <c r="F103" t="inlineStr">
        <is>
          <t>VÄRMLANDS LÄN</t>
        </is>
      </c>
      <c r="G103" t="inlineStr">
        <is>
          <t>STORFORS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59449-2022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44907</v>
      </c>
      <c r="E104" s="1" t="n">
        <v>46322</v>
      </c>
      <c r="F104" t="inlineStr">
        <is>
          <t>VÄRMLANDS LÄN</t>
        </is>
      </c>
      <c r="G104" t="inlineStr">
        <is>
          <t>STORFORS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46322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46322</v>
      </c>
      <c r="F106" t="inlineStr">
        <is>
          <t>VÄRMLANDS LÄN</t>
        </is>
      </c>
      <c r="G106" t="inlineStr">
        <is>
          <t>STORFORS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46322</v>
      </c>
      <c r="F107" t="inlineStr">
        <is>
          <t>VÄRMLANDS LÄN</t>
        </is>
      </c>
      <c r="G107" t="inlineStr">
        <is>
          <t>STORFORS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46244</v>
      </c>
      <c r="E108" s="1" t="n">
        <v>46322</v>
      </c>
      <c r="F108" t="inlineStr">
        <is>
          <t>VÄRMLANDS LÄN</t>
        </is>
      </c>
      <c r="G108" t="inlineStr">
        <is>
          <t>STORFORS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46322</v>
      </c>
      <c r="F109" t="inlineStr">
        <is>
          <t>VÄRMLANDS LÄN</t>
        </is>
      </c>
      <c r="G109" t="inlineStr">
        <is>
          <t>STORFORS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45226</v>
      </c>
      <c r="E110" s="1" t="n">
        <v>46322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46289</v>
      </c>
      <c r="E111" s="1" t="n">
        <v>46322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46322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46322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46322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46280</v>
      </c>
      <c r="E115" s="1" t="n">
        <v>46322</v>
      </c>
      <c r="F115" t="inlineStr">
        <is>
          <t>VÄRMLANDS LÄN</t>
        </is>
      </c>
      <c r="G115" t="inlineStr">
        <is>
          <t>STORFORS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46322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46322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46322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46322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46322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46322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46322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46293</v>
      </c>
      <c r="E123" s="1" t="n">
        <v>46322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39988-2026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46293</v>
      </c>
      <c r="E124" s="1" t="n">
        <v>46322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46322</v>
      </c>
      <c r="F125" t="inlineStr">
        <is>
          <t>VÄRMLANDS LÄN</t>
        </is>
      </c>
      <c r="G125" t="inlineStr">
        <is>
          <t>STORFORS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46290</v>
      </c>
      <c r="E126" s="1" t="n">
        <v>46322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19.5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40009-2026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46293</v>
      </c>
      <c r="E127" s="1" t="n">
        <v>46322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46293</v>
      </c>
      <c r="E128" s="1" t="n">
        <v>46322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46322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46322</v>
      </c>
      <c r="F130" t="inlineStr">
        <is>
          <t>VÄRMLANDS LÄN</t>
        </is>
      </c>
      <c r="G130" t="inlineStr">
        <is>
          <t>STORFORS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46002</v>
      </c>
      <c r="E131" s="1" t="n">
        <v>46322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46322</v>
      </c>
      <c r="F132" t="inlineStr">
        <is>
          <t>VÄRMLANDS LÄN</t>
        </is>
      </c>
      <c r="G132" t="inlineStr">
        <is>
          <t>STORFORS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46322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24406-2026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46169</v>
      </c>
      <c r="E134" s="1" t="n">
        <v>46322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46170</v>
      </c>
      <c r="E135" s="1" t="n">
        <v>46322</v>
      </c>
      <c r="F135" t="inlineStr">
        <is>
          <t>VÄRMLANDS LÄN</t>
        </is>
      </c>
      <c r="G135" t="inlineStr">
        <is>
          <t>STORFORS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46322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26067-2026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46322</v>
      </c>
      <c r="F137" t="inlineStr">
        <is>
          <t>VÄRMLANDS LÄN</t>
        </is>
      </c>
      <c r="G137" t="inlineStr">
        <is>
          <t>STORFORS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46322</v>
      </c>
      <c r="F138" t="inlineStr">
        <is>
          <t>VÄRMLANDS LÄN</t>
        </is>
      </c>
      <c r="G138" t="inlineStr">
        <is>
          <t>STORFORS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46322</v>
      </c>
      <c r="F139" t="inlineStr">
        <is>
          <t>VÄRMLANDS LÄN</t>
        </is>
      </c>
      <c r="G139" t="inlineStr">
        <is>
          <t>STORFORS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46255</v>
      </c>
      <c r="E140" s="1" t="n">
        <v>46322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46300</v>
      </c>
      <c r="E141" s="1" t="n">
        <v>46322</v>
      </c>
      <c r="F141" t="inlineStr">
        <is>
          <t>VÄRMLANDS LÄN</t>
        </is>
      </c>
      <c r="G141" t="inlineStr">
        <is>
          <t>STORFORS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46322</v>
      </c>
      <c r="F142" t="inlineStr">
        <is>
          <t>VÄRMLANDS LÄN</t>
        </is>
      </c>
      <c r="G142" t="inlineStr">
        <is>
          <t>STORFORS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46322</v>
      </c>
      <c r="F143" t="inlineStr">
        <is>
          <t>VÄRMLANDS LÄN</t>
        </is>
      </c>
      <c r="G143" t="inlineStr">
        <is>
          <t>STORFORS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46322</v>
      </c>
      <c r="F144" t="inlineStr">
        <is>
          <t>VÄRMLANDS LÄN</t>
        </is>
      </c>
      <c r="G144" t="inlineStr">
        <is>
          <t>STORFORS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46322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46322</v>
      </c>
      <c r="F146" t="inlineStr">
        <is>
          <t>VÄRMLANDS LÄN</t>
        </is>
      </c>
      <c r="G146" t="inlineStr">
        <is>
          <t>STORFORS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46261</v>
      </c>
      <c r="E147" s="1" t="n">
        <v>46322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46322</v>
      </c>
      <c r="F148" t="inlineStr">
        <is>
          <t>VÄRMLANDS LÄN</t>
        </is>
      </c>
      <c r="G148" t="inlineStr">
        <is>
          <t>STORFORS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46304</v>
      </c>
      <c r="E149" s="1" t="n">
        <v>46322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46322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46322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46322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46322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51.6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45468</v>
      </c>
      <c r="E154" s="1" t="n">
        <v>46322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46317</v>
      </c>
      <c r="E155" s="1" t="n">
        <v>46322</v>
      </c>
      <c r="F155" t="inlineStr">
        <is>
          <t>VÄRMLANDS LÄN</t>
        </is>
      </c>
      <c r="G155" t="inlineStr">
        <is>
          <t>STORFORS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46322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46322</v>
      </c>
      <c r="F157" t="inlineStr">
        <is>
          <t>VÄRMLANDS LÄN</t>
        </is>
      </c>
      <c r="G157" t="inlineStr">
        <is>
          <t>STORFORS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46322</v>
      </c>
      <c r="F158" t="inlineStr">
        <is>
          <t>VÄRMLANDS LÄN</t>
        </is>
      </c>
      <c r="G158" t="inlineStr">
        <is>
          <t>STORFORS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4139-2023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45247</v>
      </c>
      <c r="E159" s="1" t="n">
        <v>46322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20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4141-2023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45247</v>
      </c>
      <c r="E160" s="1" t="n">
        <v>46322</v>
      </c>
      <c r="F160" t="inlineStr">
        <is>
          <t>VÄRMLANDS LÄN</t>
        </is>
      </c>
      <c r="G160" t="inlineStr">
        <is>
          <t>STORFORS</t>
        </is>
      </c>
      <c r="H160" t="inlineStr">
        <is>
          <t>Naturvårdsverket</t>
        </is>
      </c>
      <c r="I160" t="n">
        <v>20.6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733-2025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45716</v>
      </c>
      <c r="E161" s="1" t="n">
        <v>46322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98-2026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46036</v>
      </c>
      <c r="E162" s="1" t="n">
        <v>46322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72.5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1683-2026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46182</v>
      </c>
      <c r="E163" s="1" t="n">
        <v>46322</v>
      </c>
      <c r="F163" t="inlineStr">
        <is>
          <t>VÄRMLANDS LÄN</t>
        </is>
      </c>
      <c r="G163" t="inlineStr">
        <is>
          <t>STORFORS</t>
        </is>
      </c>
      <c r="I163" t="n">
        <v>37.1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2026-10-27T03:08:04Z</dcterms:created>
  <dcterms:modified xmlns:dcterms="http://purl.org/dc/terms/" xmlns:xsi="http://www.w3.org/2001/XMLSchema-instance" xsi:type="dcterms:W3CDTF">2026-10-27T03:08:04Z</dcterms:modified>
</cp:coreProperties>
</file>