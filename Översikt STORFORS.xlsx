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46302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46302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46302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46302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39769-2026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46302</v>
      </c>
      <c r="F8" t="inlineStr">
        <is>
          <t>VÄRMLANDS LÄN</t>
        </is>
      </c>
      <c r="G8" t="inlineStr">
        <is>
          <t>STORFORS</t>
        </is>
      </c>
      <c r="H8" t="inlineStr">
        <is>
          <t>Bergvik skog väst AB</t>
        </is>
      </c>
      <c r="I8" t="n">
        <v>10.9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Igelkott</t>
        </is>
      </c>
      <c r="W8">
        <f>HYPERLINK("https://klasma.github.io/Logging_1760/artfynd/A 39769-2026 artfynd.xlsx", "A 39769-2026")</f>
        <v/>
      </c>
      <c r="X8">
        <f>HYPERLINK("https://klasma.github.io/Logging_1760/kartor/A 39769-2026 karta.png", "A 39769-2026")</f>
        <v/>
      </c>
      <c r="Y8">
        <f>HYPERLINK("https://klasma.github.io/Logging_1760/kartor_geotiff/A 39769-2026 georefererad karta.tif", "A 39769-2026")</f>
        <v/>
      </c>
      <c r="AA8">
        <f>HYPERLINK("https://klasma.github.io/Logging_1760/klagomål/A 39769-2026 FSC-klagomål.docx", "A 39769-2026")</f>
        <v/>
      </c>
      <c r="AB8">
        <f>HYPERLINK("https://klasma.github.io/Logging_1760/klagomålsmail/A 39769-2026 FSC-klagomål mail.docx", "A 39769-2026")</f>
        <v/>
      </c>
      <c r="AC8">
        <f>HYPERLINK("https://klasma.github.io/Logging_1760/tillsyn/A 39769-2026 tillsynsbegäran.docx", "A 39769-2026")</f>
        <v/>
      </c>
      <c r="AD8">
        <f>HYPERLINK("https://klasma.github.io/Logging_1760/tillsynsmail/A 39769-2026 tillsynsbegäran mail.docx", "A 39769-2026")</f>
        <v/>
      </c>
    </row>
    <row r="9" ht="15" customHeight="1">
      <c r="A9" t="inlineStr">
        <is>
          <t>A 21111-2025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45777</v>
      </c>
      <c r="E9" s="1" t="n">
        <v>46302</v>
      </c>
      <c r="F9" t="inlineStr">
        <is>
          <t>VÄRMLANDS LÄN</t>
        </is>
      </c>
      <c r="G9" t="inlineStr">
        <is>
          <t>STORFORS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Korallblylav</t>
        </is>
      </c>
      <c r="W9">
        <f>HYPERLINK("https://klasma.github.io/Logging_1760/artfynd/A 21111-2025 artfynd.xlsx", "A 21111-2025")</f>
        <v/>
      </c>
      <c r="X9">
        <f>HYPERLINK("https://klasma.github.io/Logging_1760/kartor/A 21111-2025 karta.png", "A 21111-2025")</f>
        <v/>
      </c>
      <c r="Y9">
        <f>HYPERLINK("https://klasma.github.io/Logging_1760/kartor_geotiff/A 21111-2025 georefererad karta.tif", "A 21111-2025")</f>
        <v/>
      </c>
      <c r="AA9">
        <f>HYPERLINK("https://klasma.github.io/Logging_1760/klagomål/A 21111-2025 FSC-klagomål.docx", "A 21111-2025")</f>
        <v/>
      </c>
      <c r="AB9">
        <f>HYPERLINK("https://klasma.github.io/Logging_1760/klagomålsmail/A 21111-2025 FSC-klagomål mail.docx", "A 21111-2025")</f>
        <v/>
      </c>
      <c r="AC9">
        <f>HYPERLINK("https://klasma.github.io/Logging_1760/tillsyn/A 21111-2025 tillsynsbegäran.docx", "A 21111-2025")</f>
        <v/>
      </c>
      <c r="AD9">
        <f>HYPERLINK("https://klasma.github.io/Logging_1760/tillsynsmail/A 21111-2025 tillsynsbegäran mail.docx", "A 21111-2025")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46302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46302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46302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46302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46302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46302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46302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46302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46302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46302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70761-2021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44536</v>
      </c>
      <c r="E20" s="1" t="n">
        <v>46302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46302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45669</v>
      </c>
      <c r="E22" s="1" t="n">
        <v>46302</v>
      </c>
      <c r="F22" t="inlineStr">
        <is>
          <t>VÄRMLANDS LÄN</t>
        </is>
      </c>
      <c r="G22" t="inlineStr">
        <is>
          <t>STORFORS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45688</v>
      </c>
      <c r="E23" s="1" t="n">
        <v>46302</v>
      </c>
      <c r="F23" t="inlineStr">
        <is>
          <t>VÄRMLANDS LÄN</t>
        </is>
      </c>
      <c r="G23" t="inlineStr">
        <is>
          <t>STORFORS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38176-2024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46302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46302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45686</v>
      </c>
      <c r="E26" s="1" t="n">
        <v>46302</v>
      </c>
      <c r="F26" t="inlineStr">
        <is>
          <t>VÄRMLANDS LÄN</t>
        </is>
      </c>
      <c r="G26" t="inlineStr">
        <is>
          <t>STORFORS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46302</v>
      </c>
      <c r="F27" t="inlineStr">
        <is>
          <t>VÄRMLANDS LÄN</t>
        </is>
      </c>
      <c r="G27" t="inlineStr">
        <is>
          <t>STORFORS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44692</v>
      </c>
      <c r="E28" s="1" t="n">
        <v>46302</v>
      </c>
      <c r="F28" t="inlineStr">
        <is>
          <t>VÄRMLANDS LÄN</t>
        </is>
      </c>
      <c r="G28" t="inlineStr">
        <is>
          <t>STORFORS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46302</v>
      </c>
      <c r="F29" t="inlineStr">
        <is>
          <t>VÄRMLANDS LÄN</t>
        </is>
      </c>
      <c r="G29" t="inlineStr">
        <is>
          <t>STORFORS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45890</v>
      </c>
      <c r="E30" s="1" t="n">
        <v>46302</v>
      </c>
      <c r="F30" t="inlineStr">
        <is>
          <t>VÄRMLANDS LÄN</t>
        </is>
      </c>
      <c r="G30" t="inlineStr">
        <is>
          <t>STORFORS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4868-2026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46302</v>
      </c>
      <c r="F31" t="inlineStr">
        <is>
          <t>VÄRMLANDS LÄN</t>
        </is>
      </c>
      <c r="G31" t="inlineStr">
        <is>
          <t>STORFORS</t>
        </is>
      </c>
      <c r="I31" t="n">
        <v>10.8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41479-2024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45560</v>
      </c>
      <c r="E32" s="1" t="n">
        <v>46302</v>
      </c>
      <c r="F32" t="inlineStr">
        <is>
          <t>VÄRMLANDS LÄN</t>
        </is>
      </c>
      <c r="G32" t="inlineStr">
        <is>
          <t>STORFORS</t>
        </is>
      </c>
      <c r="H32" t="inlineStr">
        <is>
          <t>Naturvårdsverket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29002-2023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46302</v>
      </c>
      <c r="F33" t="inlineStr">
        <is>
          <t>VÄRMLANDS LÄN</t>
        </is>
      </c>
      <c r="G33" t="inlineStr">
        <is>
          <t>STORFORS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15152-2022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44658</v>
      </c>
      <c r="E34" s="1" t="n">
        <v>46302</v>
      </c>
      <c r="F34" t="inlineStr">
        <is>
          <t>VÄRMLANDS LÄN</t>
        </is>
      </c>
      <c r="G34" t="inlineStr">
        <is>
          <t>STORFORS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7028-2026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46057</v>
      </c>
      <c r="E35" s="1" t="n">
        <v>46302</v>
      </c>
      <c r="F35" t="inlineStr">
        <is>
          <t>VÄRMLANDS LÄN</t>
        </is>
      </c>
      <c r="G35" t="inlineStr">
        <is>
          <t>STORFORS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47732-2024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45588</v>
      </c>
      <c r="E36" s="1" t="n">
        <v>46302</v>
      </c>
      <c r="F36" t="inlineStr">
        <is>
          <t>VÄRMLANDS LÄN</t>
        </is>
      </c>
      <c r="G36" t="inlineStr">
        <is>
          <t>STORFORS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46059</v>
      </c>
      <c r="E37" s="1" t="n">
        <v>46302</v>
      </c>
      <c r="F37" t="inlineStr">
        <is>
          <t>VÄRMLANDS LÄN</t>
        </is>
      </c>
      <c r="G37" t="inlineStr">
        <is>
          <t>STORFORS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46059</v>
      </c>
      <c r="E38" s="1" t="n">
        <v>46302</v>
      </c>
      <c r="F38" t="inlineStr">
        <is>
          <t>VÄRMLANDS LÄN</t>
        </is>
      </c>
      <c r="G38" t="inlineStr">
        <is>
          <t>STORFORS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46059</v>
      </c>
      <c r="E39" s="1" t="n">
        <v>46302</v>
      </c>
      <c r="F39" t="inlineStr">
        <is>
          <t>VÄRMLANDS LÄN</t>
        </is>
      </c>
      <c r="G39" t="inlineStr">
        <is>
          <t>STORFORS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46302</v>
      </c>
      <c r="F40" t="inlineStr">
        <is>
          <t>VÄRMLANDS LÄN</t>
        </is>
      </c>
      <c r="G40" t="inlineStr">
        <is>
          <t>STORFORS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46302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36697-2023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46302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13185-2026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46302</v>
      </c>
      <c r="F43" t="inlineStr">
        <is>
          <t>VÄRMLANDS LÄN</t>
        </is>
      </c>
      <c r="G43" t="inlineStr">
        <is>
          <t>STORFORS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15442-2024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46302</v>
      </c>
      <c r="F44" t="inlineStr">
        <is>
          <t>VÄRMLANDS LÄN</t>
        </is>
      </c>
      <c r="G44" t="inlineStr">
        <is>
          <t>STORFORS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13960-2026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46098</v>
      </c>
      <c r="E45" s="1" t="n">
        <v>46302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14435-2026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46302</v>
      </c>
      <c r="F46" t="inlineStr">
        <is>
          <t>VÄRMLANDS LÄN</t>
        </is>
      </c>
      <c r="G46" t="inlineStr">
        <is>
          <t>STORFORS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45058</v>
      </c>
      <c r="E47" s="1" t="n">
        <v>46302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46302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13795-2023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45007</v>
      </c>
      <c r="E49" s="1" t="n">
        <v>46302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45355</v>
      </c>
      <c r="E50" s="1" t="n">
        <v>46302</v>
      </c>
      <c r="F50" t="inlineStr">
        <is>
          <t>VÄRMLANDS LÄN</t>
        </is>
      </c>
      <c r="G50" t="inlineStr">
        <is>
          <t>STORFORS</t>
        </is>
      </c>
      <c r="H50" t="inlineStr">
        <is>
          <t>Kyrkan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46111</v>
      </c>
      <c r="E51" s="1" t="n">
        <v>46302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46302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25.4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46302</v>
      </c>
      <c r="F53" t="inlineStr">
        <is>
          <t>VÄRMLANDS LÄN</t>
        </is>
      </c>
      <c r="G53" t="inlineStr">
        <is>
          <t>STORFORS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45840</v>
      </c>
      <c r="E54" s="1" t="n">
        <v>46302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46302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45961</v>
      </c>
      <c r="E56" s="1" t="n">
        <v>46302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46302</v>
      </c>
      <c r="F57" t="inlineStr">
        <is>
          <t>VÄRMLANDS LÄN</t>
        </is>
      </c>
      <c r="G57" t="inlineStr">
        <is>
          <t>STORFORS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46302</v>
      </c>
      <c r="F58" t="inlineStr">
        <is>
          <t>VÄRMLANDS LÄN</t>
        </is>
      </c>
      <c r="G58" t="inlineStr">
        <is>
          <t>STORFORS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44969</v>
      </c>
      <c r="E59" s="1" t="n">
        <v>46302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46302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45968</v>
      </c>
      <c r="E61" s="1" t="n">
        <v>46302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45726</v>
      </c>
      <c r="E62" s="1" t="n">
        <v>46302</v>
      </c>
      <c r="F62" t="inlineStr">
        <is>
          <t>VÄRMLANDS LÄN</t>
        </is>
      </c>
      <c r="G62" t="inlineStr">
        <is>
          <t>STORFORS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45680</v>
      </c>
      <c r="E63" s="1" t="n">
        <v>46302</v>
      </c>
      <c r="F63" t="inlineStr">
        <is>
          <t>VÄRMLANDS LÄN</t>
        </is>
      </c>
      <c r="G63" t="inlineStr">
        <is>
          <t>STORFORS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46302</v>
      </c>
      <c r="F64" t="inlineStr">
        <is>
          <t>VÄRMLANDS LÄN</t>
        </is>
      </c>
      <c r="G64" t="inlineStr">
        <is>
          <t>STORFORS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45975</v>
      </c>
      <c r="E65" s="1" t="n">
        <v>46302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13636-2024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45390</v>
      </c>
      <c r="E66" s="1" t="n">
        <v>46302</v>
      </c>
      <c r="F66" t="inlineStr">
        <is>
          <t>VÄRMLANDS LÄN</t>
        </is>
      </c>
      <c r="G66" t="inlineStr">
        <is>
          <t>STORFORS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44938</v>
      </c>
      <c r="E67" s="1" t="n">
        <v>46302</v>
      </c>
      <c r="F67" t="inlineStr">
        <is>
          <t>VÄRMLANDS LÄN</t>
        </is>
      </c>
      <c r="G67" t="inlineStr">
        <is>
          <t>STORFORS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46302</v>
      </c>
      <c r="F68" t="inlineStr">
        <is>
          <t>VÄRMLANDS LÄN</t>
        </is>
      </c>
      <c r="G68" t="inlineStr">
        <is>
          <t>STORFORS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45226</v>
      </c>
      <c r="E69" s="1" t="n">
        <v>46302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45386</v>
      </c>
      <c r="E70" s="1" t="n">
        <v>46302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45995</v>
      </c>
      <c r="E71" s="1" t="n">
        <v>46302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20311-2026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46302</v>
      </c>
      <c r="F72" t="inlineStr">
        <is>
          <t>VÄRMLANDS LÄN</t>
        </is>
      </c>
      <c r="G72" t="inlineStr">
        <is>
          <t>STORFORS</t>
        </is>
      </c>
      <c r="H72" t="inlineStr">
        <is>
          <t>Kyrkan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46302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46302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20453-2026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46302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20527-2026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46302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20533-2026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46302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20543-2026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46302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46302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46140</v>
      </c>
      <c r="E80" s="1" t="n">
        <v>46302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46302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46302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62987-2025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46302</v>
      </c>
      <c r="F83" t="inlineStr">
        <is>
          <t>VÄRMLANDS LÄN</t>
        </is>
      </c>
      <c r="G83" t="inlineStr">
        <is>
          <t>STORFORS</t>
        </is>
      </c>
      <c r="H83" t="inlineStr">
        <is>
          <t>Naturvårdsverket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45988</v>
      </c>
      <c r="E84" s="1" t="n">
        <v>46302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46302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63080-2025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46009</v>
      </c>
      <c r="E86" s="1" t="n">
        <v>46302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44178-2025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45915</v>
      </c>
      <c r="E87" s="1" t="n">
        <v>46302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45236</v>
      </c>
      <c r="E88" s="1" t="n">
        <v>46302</v>
      </c>
      <c r="F88" t="inlineStr">
        <is>
          <t>VÄRMLANDS LÄN</t>
        </is>
      </c>
      <c r="G88" t="inlineStr">
        <is>
          <t>STORFORS</t>
        </is>
      </c>
      <c r="H88" t="inlineStr">
        <is>
          <t>Naturvårdsverket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46302</v>
      </c>
      <c r="F89" t="inlineStr">
        <is>
          <t>VÄRMLANDS LÄN</t>
        </is>
      </c>
      <c r="G89" t="inlineStr">
        <is>
          <t>STORFORS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61586-2025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46002</v>
      </c>
      <c r="E90" s="1" t="n">
        <v>46302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46302</v>
      </c>
      <c r="F91" t="inlineStr">
        <is>
          <t>VÄRMLANDS LÄN</t>
        </is>
      </c>
      <c r="G91" t="inlineStr">
        <is>
          <t>STORFORS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46302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24406-2026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46169</v>
      </c>
      <c r="E93" s="1" t="n">
        <v>46302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46302</v>
      </c>
      <c r="F94" t="inlineStr">
        <is>
          <t>VÄRMLANDS LÄN</t>
        </is>
      </c>
      <c r="G94" t="inlineStr">
        <is>
          <t>STORFORS</t>
        </is>
      </c>
      <c r="H94" t="inlineStr">
        <is>
          <t>Naturvårdsverket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24442-2026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46302</v>
      </c>
      <c r="F95" t="inlineStr">
        <is>
          <t>VÄRMLANDS LÄN</t>
        </is>
      </c>
      <c r="G95" t="inlineStr">
        <is>
          <t>STORFORS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46302</v>
      </c>
      <c r="F96" t="inlineStr">
        <is>
          <t>VÄRMLANDS LÄN</t>
        </is>
      </c>
      <c r="G96" t="inlineStr">
        <is>
          <t>STORFORS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46302</v>
      </c>
      <c r="F97" t="inlineStr">
        <is>
          <t>VÄRMLANDS LÄN</t>
        </is>
      </c>
      <c r="G97" t="inlineStr">
        <is>
          <t>STORFORS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46302</v>
      </c>
      <c r="F98" t="inlineStr">
        <is>
          <t>VÄRMLANDS LÄN</t>
        </is>
      </c>
      <c r="G98" t="inlineStr">
        <is>
          <t>STORFORS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45681</v>
      </c>
      <c r="E99" s="1" t="n">
        <v>46302</v>
      </c>
      <c r="F99" t="inlineStr">
        <is>
          <t>VÄRMLANDS LÄN</t>
        </is>
      </c>
      <c r="G99" t="inlineStr">
        <is>
          <t>STORFORS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45329</v>
      </c>
      <c r="E100" s="1" t="n">
        <v>46302</v>
      </c>
      <c r="F100" t="inlineStr">
        <is>
          <t>VÄRMLANDS LÄN</t>
        </is>
      </c>
      <c r="G100" t="inlineStr">
        <is>
          <t>STORFORS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28466-2022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44747</v>
      </c>
      <c r="E101" s="1" t="n">
        <v>46302</v>
      </c>
      <c r="F101" t="inlineStr">
        <is>
          <t>VÄRMLANDS LÄN</t>
        </is>
      </c>
      <c r="G101" t="inlineStr">
        <is>
          <t>STORFORS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28148-2026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46195</v>
      </c>
      <c r="E102" s="1" t="n">
        <v>46302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23.6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46196</v>
      </c>
      <c r="E103" s="1" t="n">
        <v>46302</v>
      </c>
      <c r="F103" t="inlineStr">
        <is>
          <t>VÄRMLANDS LÄN</t>
        </is>
      </c>
      <c r="G103" t="inlineStr">
        <is>
          <t>STORFORS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46302</v>
      </c>
      <c r="F104" t="inlineStr">
        <is>
          <t>VÄRMLANDS LÄN</t>
        </is>
      </c>
      <c r="G104" t="inlineStr">
        <is>
          <t>STORFORS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47713-2024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45588</v>
      </c>
      <c r="E105" s="1" t="n">
        <v>46302</v>
      </c>
      <c r="F105" t="inlineStr">
        <is>
          <t>VÄRMLANDS LÄN</t>
        </is>
      </c>
      <c r="G105" t="inlineStr">
        <is>
          <t>STORFORS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45203</v>
      </c>
      <c r="E106" s="1" t="n">
        <v>46302</v>
      </c>
      <c r="F106" t="inlineStr">
        <is>
          <t>VÄRMLANDS LÄN</t>
        </is>
      </c>
      <c r="G106" t="inlineStr">
        <is>
          <t>STORFORS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46203</v>
      </c>
      <c r="E107" s="1" t="n">
        <v>46302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44939</v>
      </c>
      <c r="E108" s="1" t="n">
        <v>46302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45068</v>
      </c>
      <c r="E109" s="1" t="n">
        <v>46302</v>
      </c>
      <c r="F109" t="inlineStr">
        <is>
          <t>VÄRMLANDS LÄN</t>
        </is>
      </c>
      <c r="G109" t="inlineStr">
        <is>
          <t>STORFORS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44907</v>
      </c>
      <c r="E110" s="1" t="n">
        <v>46302</v>
      </c>
      <c r="F110" t="inlineStr">
        <is>
          <t>VÄRMLANDS LÄN</t>
        </is>
      </c>
      <c r="G110" t="inlineStr">
        <is>
          <t>STORFORS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46302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45037</v>
      </c>
      <c r="E112" s="1" t="n">
        <v>46302</v>
      </c>
      <c r="F112" t="inlineStr">
        <is>
          <t>VÄRMLANDS LÄN</t>
        </is>
      </c>
      <c r="G112" t="inlineStr">
        <is>
          <t>STORFORS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30425-2026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46209</v>
      </c>
      <c r="E113" s="1" t="n">
        <v>46302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45028</v>
      </c>
      <c r="E114" s="1" t="n">
        <v>46302</v>
      </c>
      <c r="F114" t="inlineStr">
        <is>
          <t>VÄRMLANDS LÄN</t>
        </is>
      </c>
      <c r="G114" t="inlineStr">
        <is>
          <t>STORFORS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28979-2026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46199</v>
      </c>
      <c r="E115" s="1" t="n">
        <v>46302</v>
      </c>
      <c r="F115" t="inlineStr">
        <is>
          <t>VÄRMLANDS LÄN</t>
        </is>
      </c>
      <c r="G115" t="inlineStr">
        <is>
          <t>STORFORS</t>
        </is>
      </c>
      <c r="H115" t="inlineStr">
        <is>
          <t>Kyrkan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53202-2023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45229</v>
      </c>
      <c r="E116" s="1" t="n">
        <v>46302</v>
      </c>
      <c r="F116" t="inlineStr">
        <is>
          <t>VÄRMLANDS LÄN</t>
        </is>
      </c>
      <c r="G116" t="inlineStr">
        <is>
          <t>STORFORS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46261</v>
      </c>
      <c r="E117" s="1" t="n">
        <v>46302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31441-2026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46220</v>
      </c>
      <c r="E118" s="1" t="n">
        <v>46302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46302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46205</v>
      </c>
      <c r="E120" s="1" t="n">
        <v>46302</v>
      </c>
      <c r="F120" t="inlineStr">
        <is>
          <t>VÄRMLANDS LÄN</t>
        </is>
      </c>
      <c r="G120" t="inlineStr">
        <is>
          <t>STORFORS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35672-2026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46265</v>
      </c>
      <c r="E121" s="1" t="n">
        <v>46302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36310-2026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46302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46268</v>
      </c>
      <c r="E123" s="1" t="n">
        <v>46302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46302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44930</v>
      </c>
      <c r="E125" s="1" t="n">
        <v>46302</v>
      </c>
      <c r="F125" t="inlineStr">
        <is>
          <t>VÄRMLANDS LÄN</t>
        </is>
      </c>
      <c r="G125" t="inlineStr">
        <is>
          <t>STORFORS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46227</v>
      </c>
      <c r="E126" s="1" t="n">
        <v>46302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46232</v>
      </c>
      <c r="E127" s="1" t="n">
        <v>46302</v>
      </c>
      <c r="F127" t="inlineStr">
        <is>
          <t>VÄRMLANDS LÄN</t>
        </is>
      </c>
      <c r="G127" t="inlineStr">
        <is>
          <t>STORFORS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38275-2026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46281</v>
      </c>
      <c r="E128" s="1" t="n">
        <v>46302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35.1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46302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46302</v>
      </c>
      <c r="F130" t="inlineStr">
        <is>
          <t>VÄRMLANDS LÄN</t>
        </is>
      </c>
      <c r="G130" t="inlineStr">
        <is>
          <t>STORFORS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45593</v>
      </c>
      <c r="E131" s="1" t="n">
        <v>46302</v>
      </c>
      <c r="F131" t="inlineStr">
        <is>
          <t>VÄRMLANDS LÄN</t>
        </is>
      </c>
      <c r="G131" t="inlineStr">
        <is>
          <t>STORFORS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46289</v>
      </c>
      <c r="E132" s="1" t="n">
        <v>46302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28.9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37968-2026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46280</v>
      </c>
      <c r="E133" s="1" t="n">
        <v>46302</v>
      </c>
      <c r="F133" t="inlineStr">
        <is>
          <t>VÄRMLANDS LÄN</t>
        </is>
      </c>
      <c r="G133" t="inlineStr">
        <is>
          <t>STORFORS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46302</v>
      </c>
      <c r="F134" t="inlineStr">
        <is>
          <t>VÄRMLANDS LÄN</t>
        </is>
      </c>
      <c r="G134" t="inlineStr">
        <is>
          <t>STORFORS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46293</v>
      </c>
      <c r="E135" s="1" t="n">
        <v>46302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39988-2026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46293</v>
      </c>
      <c r="E136" s="1" t="n">
        <v>46302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39804-2026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46290</v>
      </c>
      <c r="E137" s="1" t="n">
        <v>46302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19.5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46293</v>
      </c>
      <c r="E138" s="1" t="n">
        <v>46302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46293</v>
      </c>
      <c r="E139" s="1" t="n">
        <v>46302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46302</v>
      </c>
      <c r="F140" t="inlineStr">
        <is>
          <t>VÄRMLANDS LÄN</t>
        </is>
      </c>
      <c r="G140" t="inlineStr">
        <is>
          <t>STORFORS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45372</v>
      </c>
      <c r="E141" s="1" t="n">
        <v>46302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44728</v>
      </c>
      <c r="E142" s="1" t="n">
        <v>46302</v>
      </c>
      <c r="F142" t="inlineStr">
        <is>
          <t>VÄRMLANDS LÄN</t>
        </is>
      </c>
      <c r="G142" t="inlineStr">
        <is>
          <t>STORFORS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45708</v>
      </c>
      <c r="E143" s="1" t="n">
        <v>46302</v>
      </c>
      <c r="F143" t="inlineStr">
        <is>
          <t>VÄRMLANDS LÄN</t>
        </is>
      </c>
      <c r="G143" t="inlineStr">
        <is>
          <t>STORFORS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46255</v>
      </c>
      <c r="E144" s="1" t="n">
        <v>46302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24.1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46300</v>
      </c>
      <c r="E145" s="1" t="n">
        <v>46302</v>
      </c>
      <c r="F145" t="inlineStr">
        <is>
          <t>VÄRMLANDS LÄN</t>
        </is>
      </c>
      <c r="G145" t="inlineStr">
        <is>
          <t>STORFORS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46258</v>
      </c>
      <c r="E146" s="1" t="n">
        <v>46302</v>
      </c>
      <c r="F146" t="inlineStr">
        <is>
          <t>VÄRMLANDS LÄN</t>
        </is>
      </c>
      <c r="G146" t="inlineStr">
        <is>
          <t>STORFORS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45174</v>
      </c>
      <c r="E147" s="1" t="n">
        <v>46302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51.6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45468</v>
      </c>
      <c r="E148" s="1" t="n">
        <v>46302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45711</v>
      </c>
      <c r="E149" s="1" t="n">
        <v>46302</v>
      </c>
      <c r="F149" t="inlineStr">
        <is>
          <t>VÄRMLANDS LÄN</t>
        </is>
      </c>
      <c r="G149" t="inlineStr">
        <is>
          <t>STORFORS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46302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46302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46302</v>
      </c>
      <c r="F152" t="inlineStr">
        <is>
          <t>VÄRMLANDS LÄN</t>
        </is>
      </c>
      <c r="G152" t="inlineStr">
        <is>
          <t>STORFORS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46302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28467-2022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44747</v>
      </c>
      <c r="E154" s="1" t="n">
        <v>46302</v>
      </c>
      <c r="F154" t="inlineStr">
        <is>
          <t>VÄRMLANDS LÄN</t>
        </is>
      </c>
      <c r="G154" t="inlineStr">
        <is>
          <t>STORFORS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45614</v>
      </c>
      <c r="E155" s="1" t="n">
        <v>46302</v>
      </c>
      <c r="F155" t="inlineStr">
        <is>
          <t>VÄRMLANDS LÄN</t>
        </is>
      </c>
      <c r="G155" t="inlineStr">
        <is>
          <t>STORFORS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45453</v>
      </c>
      <c r="E156" s="1" t="n">
        <v>46302</v>
      </c>
      <c r="F156" t="inlineStr">
        <is>
          <t>VÄRMLANDS LÄN</t>
        </is>
      </c>
      <c r="G156" t="inlineStr">
        <is>
          <t>STORFORS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45146</v>
      </c>
      <c r="E157" s="1" t="n">
        <v>46302</v>
      </c>
      <c r="F157" t="inlineStr">
        <is>
          <t>VÄRMLANDS LÄN</t>
        </is>
      </c>
      <c r="G157" t="inlineStr">
        <is>
          <t>STORFORS</t>
        </is>
      </c>
      <c r="H157" t="inlineStr">
        <is>
          <t>Kyrkan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46302</v>
      </c>
      <c r="F158" t="inlineStr">
        <is>
          <t>VÄRMLANDS LÄN</t>
        </is>
      </c>
      <c r="G158" t="inlineStr">
        <is>
          <t>STORFORS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46302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45396</v>
      </c>
      <c r="E160" s="1" t="n">
        <v>46302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9.6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45660</v>
      </c>
      <c r="E161" s="1" t="n">
        <v>46302</v>
      </c>
      <c r="F161" t="inlineStr">
        <is>
          <t>VÄRMLANDS LÄN</t>
        </is>
      </c>
      <c r="G161" t="inlineStr">
        <is>
          <t>STORFORS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4139-2023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46302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20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4141-2023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46302</v>
      </c>
      <c r="F163" t="inlineStr">
        <is>
          <t>VÄRMLANDS LÄN</t>
        </is>
      </c>
      <c r="G163" t="inlineStr">
        <is>
          <t>STORFORS</t>
        </is>
      </c>
      <c r="H163" t="inlineStr">
        <is>
          <t>Naturvårdsverket</t>
        </is>
      </c>
      <c r="I163" t="n">
        <v>20.6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733-2025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45716</v>
      </c>
      <c r="E164" s="1" t="n">
        <v>46302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33.7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98-2026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46036</v>
      </c>
      <c r="E165" s="1" t="n">
        <v>46302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72.5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1683-2026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46182</v>
      </c>
      <c r="E166" s="1" t="n">
        <v>46302</v>
      </c>
      <c r="F166" t="inlineStr">
        <is>
          <t>VÄRMLANDS LÄN</t>
        </is>
      </c>
      <c r="G166" t="inlineStr">
        <is>
          <t>STORFORS</t>
        </is>
      </c>
      <c r="I166" t="n">
        <v>37.1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2026-10-07T02:03:56Z</dcterms:created>
  <dcterms:modified xmlns:dcterms="http://purl.org/dc/terms/" xmlns:xsi="http://www.w3.org/2001/XMLSchema-instance" xsi:type="dcterms:W3CDTF">2026-10-07T02:03:56Z</dcterms:modified>
</cp:coreProperties>
</file>