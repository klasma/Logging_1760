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37716-2025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45881</v>
      </c>
      <c r="E3" s="1" t="n">
        <v>46324</v>
      </c>
      <c r="F3" t="inlineStr">
        <is>
          <t>VÄRMLANDS LÄN</t>
        </is>
      </c>
      <c r="G3" t="inlineStr">
        <is>
          <t>STORFORS</t>
        </is>
      </c>
      <c r="I3" t="n">
        <v>4.5</v>
      </c>
      <c r="J3" t="n">
        <v>2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8</v>
      </c>
      <c r="U3" t="n">
        <v>8</v>
      </c>
      <c r="V3" s="2" t="inlineStr">
        <is>
          <t>Kattfotslav
Tretåig hackspett
Ullticka
Spillkråka</t>
        </is>
      </c>
      <c r="W3">
        <f>HYPERLINK("https://klasma.github.io/Logging_1760/artfynd/A 37716-2025 artfynd.xlsx", "A 37716-2025")</f>
        <v/>
      </c>
      <c r="X3">
        <f>HYPERLINK("https://klasma.github.io/Logging_1760/kartor/A 37716-2025 karta.png", "A 37716-2025")</f>
        <v/>
      </c>
      <c r="Y3">
        <f>HYPERLINK("https://klasma.github.io/Logging_1760/kartor_geotiff/A 37716-2025 georefererad karta.tif", "A 37716-2025")</f>
        <v/>
      </c>
      <c r="AA3">
        <f>HYPERLINK("https://klasma.github.io/Logging_1760/klagomål/A 37716-2025 FSC-klagomål.docx", "A 37716-2025")</f>
        <v/>
      </c>
      <c r="AB3">
        <f>HYPERLINK("https://klasma.github.io/Logging_1760/klagomålsmail/A 37716-2025 FSC-klagomål mail.docx", "A 37716-2025")</f>
        <v/>
      </c>
      <c r="AC3">
        <f>HYPERLINK("https://klasma.github.io/Logging_1760/tillsyn/A 37716-2025 tillsynsbegäran.docx", "A 37716-2025")</f>
        <v/>
      </c>
      <c r="AD3">
        <f>HYPERLINK("https://klasma.github.io/Logging_1760/tillsynsmail/A 37716-2025 tillsynsbegäran mail.docx", "A 37716-2025")</f>
        <v/>
      </c>
      <c r="AE3">
        <f>HYPERLINK("https://klasma.github.io/Logging_1760/fåglar/A 37716-2025 prioriterade fågelarter.docx", "A 37716-2025")</f>
        <v/>
      </c>
    </row>
    <row r="4" ht="15" customHeight="1">
      <c r="A4" t="inlineStr">
        <is>
          <t>A 51171-2022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44868</v>
      </c>
      <c r="E4" s="1" t="n">
        <v>46324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0.6</v>
      </c>
      <c r="J4" t="n">
        <v>0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2</v>
      </c>
      <c r="T4" t="n">
        <v>2</v>
      </c>
      <c r="U4" t="n">
        <v>0</v>
      </c>
      <c r="V4" s="2" t="inlineStr">
        <is>
          <t>Brunfläckig pärlemorfjäril
Ängsblåvinge</t>
        </is>
      </c>
      <c r="W4">
        <f>HYPERLINK("https://klasma.github.io/Logging_1760/artfynd/A 51171-2022 artfynd.xlsx", "A 51171-2022")</f>
        <v/>
      </c>
      <c r="X4">
        <f>HYPERLINK("https://klasma.github.io/Logging_1760/kartor/A 51171-2022 karta.png", "A 51171-2022")</f>
        <v/>
      </c>
      <c r="Y4">
        <f>HYPERLINK("https://klasma.github.io/Logging_1760/kartor_geotiff/A 51171-2022 georefererad karta.tif", "A 51171-2022")</f>
        <v/>
      </c>
      <c r="AA4">
        <f>HYPERLINK("https://klasma.github.io/Logging_1760/klagomål/A 51171-2022 FSC-klagomål.docx", "A 51171-2022")</f>
        <v/>
      </c>
      <c r="AB4">
        <f>HYPERLINK("https://klasma.github.io/Logging_1760/klagomålsmail/A 51171-2022 FSC-klagomål mail.docx", "A 51171-2022")</f>
        <v/>
      </c>
      <c r="AC4">
        <f>HYPERLINK("https://klasma.github.io/Logging_1760/tillsyn/A 51171-2022 tillsynsbegäran.docx", "A 51171-2022")</f>
        <v/>
      </c>
      <c r="AD4">
        <f>HYPERLINK("https://klasma.github.io/Logging_1760/tillsynsmail/A 51171-2022 tillsynsbegäran mail.docx", "A 51171-2022")</f>
        <v/>
      </c>
    </row>
    <row r="5" ht="15" customHeight="1">
      <c r="A5" t="inlineStr">
        <is>
          <t>A 31441-2026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46220</v>
      </c>
      <c r="E5" s="1" t="n">
        <v>46324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4.8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Talltita
Gråsiska</t>
        </is>
      </c>
      <c r="W5">
        <f>HYPERLINK("https://klasma.github.io/Logging_1760/artfynd/A 31441-2026 artfynd.xlsx", "A 31441-2026")</f>
        <v/>
      </c>
      <c r="X5">
        <f>HYPERLINK("https://klasma.github.io/Logging_1760/kartor/A 31441-2026 karta.png", "A 31441-2026")</f>
        <v/>
      </c>
      <c r="Y5">
        <f>HYPERLINK("https://klasma.github.io/Logging_1760/kartor_geotiff/A 31441-2026 georefererad karta.tif", "A 31441-2026")</f>
        <v/>
      </c>
      <c r="AA5">
        <f>HYPERLINK("https://klasma.github.io/Logging_1760/klagomål/A 31441-2026 FSC-klagomål.docx", "A 31441-2026")</f>
        <v/>
      </c>
      <c r="AB5">
        <f>HYPERLINK("https://klasma.github.io/Logging_1760/klagomålsmail/A 31441-2026 FSC-klagomål mail.docx", "A 31441-2026")</f>
        <v/>
      </c>
      <c r="AC5">
        <f>HYPERLINK("https://klasma.github.io/Logging_1760/tillsyn/A 31441-2026 tillsynsbegäran.docx", "A 31441-2026")</f>
        <v/>
      </c>
      <c r="AD5">
        <f>HYPERLINK("https://klasma.github.io/Logging_1760/tillsynsmail/A 31441-2026 tillsynsbegäran mail.docx", "A 31441-2026")</f>
        <v/>
      </c>
      <c r="AE5">
        <f>HYPERLINK("https://klasma.github.io/Logging_1760/fåglar/A 31441-2026 prioriterade fågelarter.docx", "A 31441-2026")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46324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46324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43407-2022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44834</v>
      </c>
      <c r="E8" s="1" t="n">
        <v>46324</v>
      </c>
      <c r="F8" t="inlineStr">
        <is>
          <t>VÄRMLANDS LÄN</t>
        </is>
      </c>
      <c r="G8" t="inlineStr">
        <is>
          <t>STORFORS</t>
        </is>
      </c>
      <c r="H8" t="inlineStr">
        <is>
          <t>Bergvik skog väst AB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Orre</t>
        </is>
      </c>
      <c r="W8">
        <f>HYPERLINK("https://klasma.github.io/Logging_1760/artfynd/A 43407-2022 artfynd.xlsx", "A 43407-2022")</f>
        <v/>
      </c>
      <c r="X8">
        <f>HYPERLINK("https://klasma.github.io/Logging_1760/kartor/A 43407-2022 karta.png", "A 43407-2022")</f>
        <v/>
      </c>
      <c r="Y8">
        <f>HYPERLINK("https://klasma.github.io/Logging_1760/kartor_geotiff/A 43407-2022 georefererad karta.tif", "A 43407-2022")</f>
        <v/>
      </c>
      <c r="AA8">
        <f>HYPERLINK("https://klasma.github.io/Logging_1760/klagomål/A 43407-2022 FSC-klagomål.docx", "A 43407-2022")</f>
        <v/>
      </c>
      <c r="AB8">
        <f>HYPERLINK("https://klasma.github.io/Logging_1760/klagomålsmail/A 43407-2022 FSC-klagomål mail.docx", "A 43407-2022")</f>
        <v/>
      </c>
      <c r="AC8">
        <f>HYPERLINK("https://klasma.github.io/Logging_1760/tillsyn/A 43407-2022 tillsynsbegäran.docx", "A 43407-2022")</f>
        <v/>
      </c>
      <c r="AD8">
        <f>HYPERLINK("https://klasma.github.io/Logging_1760/tillsynsmail/A 43407-2022 tillsynsbegäran mail.docx", "A 43407-2022")</f>
        <v/>
      </c>
      <c r="AE8">
        <f>HYPERLINK("https://klasma.github.io/Logging_1760/fåglar/A 43407-2022 prioriterade fågelarter.docx", "A 43407-2022")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46324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57209-2022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46324</v>
      </c>
      <c r="F10" t="inlineStr">
        <is>
          <t>VÄRMLANDS LÄN</t>
        </is>
      </c>
      <c r="G10" t="inlineStr">
        <is>
          <t>STORFORS</t>
        </is>
      </c>
      <c r="H10" t="inlineStr">
        <is>
          <t>Kyrkan</t>
        </is>
      </c>
      <c r="I10" t="n">
        <v>6.3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Knölspindel</t>
        </is>
      </c>
      <c r="W10">
        <f>HYPERLINK("https://klasma.github.io/Logging_1760/artfynd/A 57209-2022 artfynd.xlsx", "A 57209-2022")</f>
        <v/>
      </c>
      <c r="X10">
        <f>HYPERLINK("https://klasma.github.io/Logging_1760/kartor/A 57209-2022 karta.png", "A 57209-2022")</f>
        <v/>
      </c>
      <c r="Y10">
        <f>HYPERLINK("https://klasma.github.io/Logging_1760/kartor_geotiff/A 57209-2022 georefererad karta.tif", "A 57209-2022")</f>
        <v/>
      </c>
      <c r="AA10">
        <f>HYPERLINK("https://klasma.github.io/Logging_1760/klagomål/A 57209-2022 FSC-klagomål.docx", "A 57209-2022")</f>
        <v/>
      </c>
      <c r="AB10">
        <f>HYPERLINK("https://klasma.github.io/Logging_1760/klagomålsmail/A 57209-2022 FSC-klagomål mail.docx", "A 57209-2022")</f>
        <v/>
      </c>
      <c r="AC10">
        <f>HYPERLINK("https://klasma.github.io/Logging_1760/tillsyn/A 57209-2022 tillsynsbegäran.docx", "A 57209-2022")</f>
        <v/>
      </c>
      <c r="AD10">
        <f>HYPERLINK("https://klasma.github.io/Logging_1760/tillsynsmail/A 57209-2022 tillsynsbegäran mail.docx", "A 57209-2022")</f>
        <v/>
      </c>
    </row>
    <row r="11" ht="15" customHeight="1">
      <c r="A11" t="inlineStr">
        <is>
          <t>A 13636-2024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45390</v>
      </c>
      <c r="E11" s="1" t="n">
        <v>46324</v>
      </c>
      <c r="F11" t="inlineStr">
        <is>
          <t>VÄRMLANDS LÄN</t>
        </is>
      </c>
      <c r="G11" t="inlineStr">
        <is>
          <t>STORFORS</t>
        </is>
      </c>
      <c r="I11" t="n">
        <v>0.9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Ullticka</t>
        </is>
      </c>
      <c r="W11">
        <f>HYPERLINK("https://klasma.github.io/Logging_1760/artfynd/A 13636-2024 artfynd.xlsx", "A 13636-2024")</f>
        <v/>
      </c>
      <c r="X11">
        <f>HYPERLINK("https://klasma.github.io/Logging_1760/kartor/A 13636-2024 karta.png", "A 13636-2024")</f>
        <v/>
      </c>
      <c r="Y11">
        <f>HYPERLINK("https://klasma.github.io/Logging_1760/kartor_geotiff/A 13636-2024 georefererad karta.tif", "A 13636-2024")</f>
        <v/>
      </c>
      <c r="AA11">
        <f>HYPERLINK("https://klasma.github.io/Logging_1760/klagomål/A 13636-2024 FSC-klagomål.docx", "A 13636-2024")</f>
        <v/>
      </c>
      <c r="AB11">
        <f>HYPERLINK("https://klasma.github.io/Logging_1760/klagomålsmail/A 13636-2024 FSC-klagomål mail.docx", "A 13636-2024")</f>
        <v/>
      </c>
      <c r="AC11">
        <f>HYPERLINK("https://klasma.github.io/Logging_1760/tillsyn/A 13636-2024 tillsynsbegäran.docx", "A 13636-2024")</f>
        <v/>
      </c>
      <c r="AD11">
        <f>HYPERLINK("https://klasma.github.io/Logging_1760/tillsynsmail/A 13636-2024 tillsynsbegäran mail.docx", "A 13636-2024")</f>
        <v/>
      </c>
    </row>
    <row r="12" ht="15" customHeight="1">
      <c r="A12" t="inlineStr">
        <is>
          <t>A 35089-2022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46324</v>
      </c>
      <c r="F12" t="inlineStr">
        <is>
          <t>VÄRMLANDS LÄN</t>
        </is>
      </c>
      <c r="G12" t="inlineStr">
        <is>
          <t>STORFORS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64815-2021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46324</v>
      </c>
      <c r="F13" t="inlineStr">
        <is>
          <t>VÄRMLANDS LÄN</t>
        </is>
      </c>
      <c r="G13" t="inlineStr">
        <is>
          <t>STORFORS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35084-2022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44797</v>
      </c>
      <c r="E14" s="1" t="n">
        <v>46324</v>
      </c>
      <c r="F14" t="inlineStr">
        <is>
          <t>VÄRMLANDS LÄN</t>
        </is>
      </c>
      <c r="G14" t="inlineStr">
        <is>
          <t>STORFORS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33307-2022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44788</v>
      </c>
      <c r="E15" s="1" t="n">
        <v>46324</v>
      </c>
      <c r="F15" t="inlineStr">
        <is>
          <t>VÄRMLANDS LÄN</t>
        </is>
      </c>
      <c r="G15" t="inlineStr">
        <is>
          <t>STORFORS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46324</v>
      </c>
      <c r="F16" t="inlineStr">
        <is>
          <t>VÄRMLANDS LÄN</t>
        </is>
      </c>
      <c r="G16" t="inlineStr">
        <is>
          <t>STORFORS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46324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46324</v>
      </c>
      <c r="F18" t="inlineStr">
        <is>
          <t>VÄRMLANDS LÄN</t>
        </is>
      </c>
      <c r="G18" t="inlineStr">
        <is>
          <t>STORFORS</t>
        </is>
      </c>
      <c r="H18" t="inlineStr">
        <is>
          <t>Kyrkan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21929-2023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45068</v>
      </c>
      <c r="E19" s="1" t="n">
        <v>46324</v>
      </c>
      <c r="F19" t="inlineStr">
        <is>
          <t>VÄRMLANDS LÄN</t>
        </is>
      </c>
      <c r="G19" t="inlineStr">
        <is>
          <t>STORFORS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59449-2022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44907</v>
      </c>
      <c r="E20" s="1" t="n">
        <v>46324</v>
      </c>
      <c r="F20" t="inlineStr">
        <is>
          <t>VÄRMLANDS LÄN</t>
        </is>
      </c>
      <c r="G20" t="inlineStr">
        <is>
          <t>STORFORS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44783-2022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44841</v>
      </c>
      <c r="E21" s="1" t="n">
        <v>46324</v>
      </c>
      <c r="F21" t="inlineStr">
        <is>
          <t>VÄRMLANDS LÄN</t>
        </is>
      </c>
      <c r="G21" t="inlineStr">
        <is>
          <t>STORFORS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17756-2023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45037</v>
      </c>
      <c r="E22" s="1" t="n">
        <v>46324</v>
      </c>
      <c r="F22" t="inlineStr">
        <is>
          <t>VÄRMLANDS LÄN</t>
        </is>
      </c>
      <c r="G22" t="inlineStr">
        <is>
          <t>STORFORS</t>
        </is>
      </c>
      <c r="I22" t="n">
        <v>8.1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45028</v>
      </c>
      <c r="E23" s="1" t="n">
        <v>46324</v>
      </c>
      <c r="F23" t="inlineStr">
        <is>
          <t>VÄRMLANDS LÄN</t>
        </is>
      </c>
      <c r="G23" t="inlineStr">
        <is>
          <t>STORFORS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45396</v>
      </c>
      <c r="E24" s="1" t="n">
        <v>46324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9.6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45072</v>
      </c>
      <c r="E25" s="1" t="n">
        <v>46324</v>
      </c>
      <c r="F25" t="inlineStr">
        <is>
          <t>VÄRMLANDS LÄN</t>
        </is>
      </c>
      <c r="G25" t="inlineStr">
        <is>
          <t>STORFORS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45660</v>
      </c>
      <c r="E26" s="1" t="n">
        <v>46324</v>
      </c>
      <c r="F26" t="inlineStr">
        <is>
          <t>VÄRMLANDS LÄN</t>
        </is>
      </c>
      <c r="G26" t="inlineStr">
        <is>
          <t>STORFORS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45229</v>
      </c>
      <c r="E27" s="1" t="n">
        <v>46324</v>
      </c>
      <c r="F27" t="inlineStr">
        <is>
          <t>VÄRMLANDS LÄN</t>
        </is>
      </c>
      <c r="G27" t="inlineStr">
        <is>
          <t>STORFORS</t>
        </is>
      </c>
      <c r="I27" t="n">
        <v>7.6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46324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58586-2024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46324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70761-2021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46324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46324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46324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46324</v>
      </c>
      <c r="F33" t="inlineStr">
        <is>
          <t>VÄRMLANDS LÄN</t>
        </is>
      </c>
      <c r="G33" t="inlineStr">
        <is>
          <t>STORFORS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46324</v>
      </c>
      <c r="F34" t="inlineStr">
        <is>
          <t>VÄRMLANDS LÄN</t>
        </is>
      </c>
      <c r="G34" t="inlineStr">
        <is>
          <t>STORFORS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47728-2023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46324</v>
      </c>
      <c r="F35" t="inlineStr">
        <is>
          <t>VÄRMLANDS LÄN</t>
        </is>
      </c>
      <c r="G35" t="inlineStr">
        <is>
          <t>STORFORS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26189-2024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46324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45355</v>
      </c>
      <c r="E37" s="1" t="n">
        <v>46324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46324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33143-2025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46324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46324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46324</v>
      </c>
      <c r="F41" t="inlineStr">
        <is>
          <t>VÄRMLANDS LÄN</t>
        </is>
      </c>
      <c r="G41" t="inlineStr">
        <is>
          <t>STORFORS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45680</v>
      </c>
      <c r="E42" s="1" t="n">
        <v>46324</v>
      </c>
      <c r="F42" t="inlineStr">
        <is>
          <t>VÄRMLANDS LÄN</t>
        </is>
      </c>
      <c r="G42" t="inlineStr">
        <is>
          <t>STORFORS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48591-2024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45593</v>
      </c>
      <c r="E43" s="1" t="n">
        <v>46324</v>
      </c>
      <c r="F43" t="inlineStr">
        <is>
          <t>VÄRMLANDS LÄN</t>
        </is>
      </c>
      <c r="G43" t="inlineStr">
        <is>
          <t>STORFORS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45669</v>
      </c>
      <c r="E44" s="1" t="n">
        <v>46324</v>
      </c>
      <c r="F44" t="inlineStr">
        <is>
          <t>VÄRMLANDS LÄN</t>
        </is>
      </c>
      <c r="G44" t="inlineStr">
        <is>
          <t>STORFORS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46324</v>
      </c>
      <c r="F45" t="inlineStr">
        <is>
          <t>VÄRMLANDS LÄN</t>
        </is>
      </c>
      <c r="G45" t="inlineStr">
        <is>
          <t>STORFORS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45961</v>
      </c>
      <c r="E46" s="1" t="n">
        <v>46324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46324</v>
      </c>
      <c r="F47" t="inlineStr">
        <is>
          <t>VÄRMLANDS LÄN</t>
        </is>
      </c>
      <c r="G47" t="inlineStr">
        <is>
          <t>STORFORS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46324</v>
      </c>
      <c r="F48" t="inlineStr">
        <is>
          <t>VÄRMLANDS LÄN</t>
        </is>
      </c>
      <c r="G48" t="inlineStr">
        <is>
          <t>STORFORS</t>
        </is>
      </c>
      <c r="I48" t="n">
        <v>9.1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30587-2023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46324</v>
      </c>
      <c r="F49" t="inlineStr">
        <is>
          <t>VÄRMLANDS LÄN</t>
        </is>
      </c>
      <c r="G49" t="inlineStr">
        <is>
          <t>STORFORS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46324</v>
      </c>
      <c r="F50" t="inlineStr">
        <is>
          <t>VÄRMLANDS LÄN</t>
        </is>
      </c>
      <c r="G50" t="inlineStr">
        <is>
          <t>STORFORS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46324</v>
      </c>
      <c r="F51" t="inlineStr">
        <is>
          <t>VÄRMLANDS LÄN</t>
        </is>
      </c>
      <c r="G51" t="inlineStr">
        <is>
          <t>STORFORS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45975</v>
      </c>
      <c r="E52" s="1" t="n">
        <v>46324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61586-2025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46002</v>
      </c>
      <c r="E53" s="1" t="n">
        <v>46324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44938</v>
      </c>
      <c r="E54" s="1" t="n">
        <v>46324</v>
      </c>
      <c r="F54" t="inlineStr">
        <is>
          <t>VÄRMLANDS LÄN</t>
        </is>
      </c>
      <c r="G54" t="inlineStr">
        <is>
          <t>STORFORS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45985</v>
      </c>
      <c r="E55" s="1" t="n">
        <v>46324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14.1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46324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44728</v>
      </c>
      <c r="E57" s="1" t="n">
        <v>46324</v>
      </c>
      <c r="F57" t="inlineStr">
        <is>
          <t>VÄRMLANDS LÄN</t>
        </is>
      </c>
      <c r="G57" t="inlineStr">
        <is>
          <t>STORFORS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45708</v>
      </c>
      <c r="E58" s="1" t="n">
        <v>46324</v>
      </c>
      <c r="F58" t="inlineStr">
        <is>
          <t>VÄRMLANDS LÄN</t>
        </is>
      </c>
      <c r="G58" t="inlineStr">
        <is>
          <t>STORFORS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45995</v>
      </c>
      <c r="E59" s="1" t="n">
        <v>46324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46000</v>
      </c>
      <c r="E60" s="1" t="n">
        <v>46324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46000</v>
      </c>
      <c r="E61" s="1" t="n">
        <v>46324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24406-2026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46169</v>
      </c>
      <c r="E62" s="1" t="n">
        <v>46324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45688</v>
      </c>
      <c r="E63" s="1" t="n">
        <v>46324</v>
      </c>
      <c r="F63" t="inlineStr">
        <is>
          <t>VÄRMLANDS LÄN</t>
        </is>
      </c>
      <c r="G63" t="inlineStr">
        <is>
          <t>STORFORS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46324</v>
      </c>
      <c r="F64" t="inlineStr">
        <is>
          <t>VÄRMLANDS LÄN</t>
        </is>
      </c>
      <c r="G64" t="inlineStr">
        <is>
          <t>STORFORS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46013</v>
      </c>
      <c r="E65" s="1" t="n">
        <v>46324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59146-2025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46324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9.9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45939</v>
      </c>
      <c r="E67" s="1" t="n">
        <v>46324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63080-2025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46324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46324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51.6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45468</v>
      </c>
      <c r="E70" s="1" t="n">
        <v>46324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45711</v>
      </c>
      <c r="E71" s="1" t="n">
        <v>46324</v>
      </c>
      <c r="F71" t="inlineStr">
        <is>
          <t>VÄRMLANDS LÄN</t>
        </is>
      </c>
      <c r="G71" t="inlineStr">
        <is>
          <t>STORFORS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46324</v>
      </c>
      <c r="F72" t="inlineStr">
        <is>
          <t>VÄRMLANDS LÄN</t>
        </is>
      </c>
      <c r="G72" t="inlineStr">
        <is>
          <t>STORFORS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46324</v>
      </c>
      <c r="F73" t="inlineStr">
        <is>
          <t>VÄRMLANDS LÄN</t>
        </is>
      </c>
      <c r="G73" t="inlineStr">
        <is>
          <t>STORFORS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45174</v>
      </c>
      <c r="E74" s="1" t="n">
        <v>46324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46324</v>
      </c>
      <c r="F75" t="inlineStr">
        <is>
          <t>VÄRMLANDS LÄN</t>
        </is>
      </c>
      <c r="G75" t="inlineStr">
        <is>
          <t>STORFORS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46324</v>
      </c>
      <c r="F76" t="inlineStr">
        <is>
          <t>VÄRMLANDS LÄN</t>
        </is>
      </c>
      <c r="G76" t="inlineStr">
        <is>
          <t>STORFORS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46324</v>
      </c>
      <c r="F77" t="inlineStr">
        <is>
          <t>VÄRMLANDS LÄN</t>
        </is>
      </c>
      <c r="G77" t="inlineStr">
        <is>
          <t>STORFORS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46324</v>
      </c>
      <c r="F78" t="inlineStr">
        <is>
          <t>VÄRMLANDS LÄN</t>
        </is>
      </c>
      <c r="G78" t="inlineStr">
        <is>
          <t>STORFORS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46324</v>
      </c>
      <c r="F79" t="inlineStr">
        <is>
          <t>VÄRMLANDS LÄN</t>
        </is>
      </c>
      <c r="G79" t="inlineStr">
        <is>
          <t>STORFORS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46324</v>
      </c>
      <c r="F80" t="inlineStr">
        <is>
          <t>VÄRMLANDS LÄN</t>
        </is>
      </c>
      <c r="G80" t="inlineStr">
        <is>
          <t>STORFORS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45204</v>
      </c>
      <c r="E81" s="1" t="n">
        <v>46324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46324</v>
      </c>
      <c r="F82" t="inlineStr">
        <is>
          <t>VÄRMLANDS LÄN</t>
        </is>
      </c>
      <c r="G82" t="inlineStr">
        <is>
          <t>STORFORS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46324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46324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45545</v>
      </c>
      <c r="E85" s="1" t="n">
        <v>46324</v>
      </c>
      <c r="F85" t="inlineStr">
        <is>
          <t>VÄRMLANDS LÄN</t>
        </is>
      </c>
      <c r="G85" t="inlineStr">
        <is>
          <t>STORFORS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44747</v>
      </c>
      <c r="E86" s="1" t="n">
        <v>46324</v>
      </c>
      <c r="F86" t="inlineStr">
        <is>
          <t>VÄRMLANDS LÄN</t>
        </is>
      </c>
      <c r="G86" t="inlineStr">
        <is>
          <t>STORFORS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46203</v>
      </c>
      <c r="E87" s="1" t="n">
        <v>46324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46203</v>
      </c>
      <c r="E88" s="1" t="n">
        <v>46324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46324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46324</v>
      </c>
      <c r="F90" t="inlineStr">
        <is>
          <t>VÄRMLANDS LÄN</t>
        </is>
      </c>
      <c r="G90" t="inlineStr">
        <is>
          <t>STORFORS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45686</v>
      </c>
      <c r="E91" s="1" t="n">
        <v>46324</v>
      </c>
      <c r="F91" t="inlineStr">
        <is>
          <t>VÄRMLANDS LÄN</t>
        </is>
      </c>
      <c r="G91" t="inlineStr">
        <is>
          <t>STORFORS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30425-2026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46209</v>
      </c>
      <c r="E92" s="1" t="n">
        <v>46324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46324</v>
      </c>
      <c r="F93" t="inlineStr">
        <is>
          <t>VÄRMLANDS LÄN</t>
        </is>
      </c>
      <c r="G93" t="inlineStr">
        <is>
          <t>STORFORS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28979-2026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46199</v>
      </c>
      <c r="E94" s="1" t="n">
        <v>46324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46324</v>
      </c>
      <c r="F95" t="inlineStr">
        <is>
          <t>VÄRMLANDS LÄN</t>
        </is>
      </c>
      <c r="G95" t="inlineStr">
        <is>
          <t>STORFORS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46324</v>
      </c>
      <c r="F96" t="inlineStr">
        <is>
          <t>VÄRMLANDS LÄN</t>
        </is>
      </c>
      <c r="G96" t="inlineStr">
        <is>
          <t>STORFORS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46324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46324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46324</v>
      </c>
      <c r="F99" t="inlineStr">
        <is>
          <t>VÄRMLANDS LÄN</t>
        </is>
      </c>
      <c r="G99" t="inlineStr">
        <is>
          <t>STORFORS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46324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46227</v>
      </c>
      <c r="E101" s="1" t="n">
        <v>46324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46324</v>
      </c>
      <c r="F102" t="inlineStr">
        <is>
          <t>VÄRMLANDS LÄN</t>
        </is>
      </c>
      <c r="G102" t="inlineStr">
        <is>
          <t>STORFORS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46324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46324</v>
      </c>
      <c r="F104" t="inlineStr">
        <is>
          <t>VÄRMLANDS LÄN</t>
        </is>
      </c>
      <c r="G104" t="inlineStr">
        <is>
          <t>STORFORS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46324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46324</v>
      </c>
      <c r="F106" t="inlineStr">
        <is>
          <t>VÄRMLANDS LÄN</t>
        </is>
      </c>
      <c r="G106" t="inlineStr">
        <is>
          <t>STORFORS</t>
        </is>
      </c>
      <c r="H106" t="inlineStr">
        <is>
          <t>Naturvårdsverket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45104</v>
      </c>
      <c r="E107" s="1" t="n">
        <v>46324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44658</v>
      </c>
      <c r="E108" s="1" t="n">
        <v>46324</v>
      </c>
      <c r="F108" t="inlineStr">
        <is>
          <t>VÄRMLANDS LÄN</t>
        </is>
      </c>
      <c r="G108" t="inlineStr">
        <is>
          <t>STORFORS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46244</v>
      </c>
      <c r="E109" s="1" t="n">
        <v>46324</v>
      </c>
      <c r="F109" t="inlineStr">
        <is>
          <t>VÄRMLANDS LÄN</t>
        </is>
      </c>
      <c r="G109" t="inlineStr">
        <is>
          <t>STORFORS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45226</v>
      </c>
      <c r="E110" s="1" t="n">
        <v>46324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46289</v>
      </c>
      <c r="E111" s="1" t="n">
        <v>46324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46324</v>
      </c>
      <c r="F112" t="inlineStr">
        <is>
          <t>VÄRMLANDS LÄN</t>
        </is>
      </c>
      <c r="G112" t="inlineStr">
        <is>
          <t>STORFORS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46324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46324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46324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46324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46293</v>
      </c>
      <c r="E117" s="1" t="n">
        <v>46324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12.5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46293</v>
      </c>
      <c r="E118" s="1" t="n">
        <v>46324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46324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46324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46324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46290</v>
      </c>
      <c r="E122" s="1" t="n">
        <v>46324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19.5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46324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46293</v>
      </c>
      <c r="E124" s="1" t="n">
        <v>46324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10.6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40098-2026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46293</v>
      </c>
      <c r="E125" s="1" t="n">
        <v>46324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46324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46324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46324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46324</v>
      </c>
      <c r="F129" t="inlineStr">
        <is>
          <t>VÄRMLANDS LÄN</t>
        </is>
      </c>
      <c r="G129" t="inlineStr">
        <is>
          <t>STORFORS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46255</v>
      </c>
      <c r="E130" s="1" t="n">
        <v>46324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24.1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46324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46300</v>
      </c>
      <c r="E132" s="1" t="n">
        <v>46324</v>
      </c>
      <c r="F132" t="inlineStr">
        <is>
          <t>VÄRMLANDS LÄN</t>
        </is>
      </c>
      <c r="G132" t="inlineStr">
        <is>
          <t>STORFORS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46258</v>
      </c>
      <c r="E133" s="1" t="n">
        <v>46324</v>
      </c>
      <c r="F133" t="inlineStr">
        <is>
          <t>VÄRMLANDS LÄN</t>
        </is>
      </c>
      <c r="G133" t="inlineStr">
        <is>
          <t>STORFORS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46324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45468</v>
      </c>
      <c r="E135" s="1" t="n">
        <v>46324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25.4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46324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46324</v>
      </c>
      <c r="F137" t="inlineStr">
        <is>
          <t>VÄRMLANDS LÄN</t>
        </is>
      </c>
      <c r="G137" t="inlineStr">
        <is>
          <t>STORFORS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46261</v>
      </c>
      <c r="E138" s="1" t="n">
        <v>46324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46304</v>
      </c>
      <c r="E139" s="1" t="n">
        <v>46324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30.2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46324</v>
      </c>
      <c r="F140" t="inlineStr">
        <is>
          <t>VÄRMLANDS LÄN</t>
        </is>
      </c>
      <c r="G140" t="inlineStr">
        <is>
          <t>STORFORS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45236</v>
      </c>
      <c r="E141" s="1" t="n">
        <v>46324</v>
      </c>
      <c r="F141" t="inlineStr">
        <is>
          <t>VÄRMLANDS LÄN</t>
        </is>
      </c>
      <c r="G141" t="inlineStr">
        <is>
          <t>STORFORS</t>
        </is>
      </c>
      <c r="H141" t="inlineStr">
        <is>
          <t>Naturvårdsverket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46324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46324</v>
      </c>
      <c r="F143" t="inlineStr">
        <is>
          <t>VÄRMLANDS LÄN</t>
        </is>
      </c>
      <c r="G143" t="inlineStr">
        <is>
          <t>STORFORS</t>
        </is>
      </c>
      <c r="H143" t="inlineStr">
        <is>
          <t>Naturvårdsverket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46268</v>
      </c>
      <c r="E144" s="1" t="n">
        <v>46324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58125-2022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46324</v>
      </c>
      <c r="F145" t="inlineStr">
        <is>
          <t>VÄRMLANDS LÄN</t>
        </is>
      </c>
      <c r="G145" t="inlineStr">
        <is>
          <t>STORFORS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46324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45681</v>
      </c>
      <c r="E147" s="1" t="n">
        <v>46324</v>
      </c>
      <c r="F147" t="inlineStr">
        <is>
          <t>VÄRMLANDS LÄN</t>
        </is>
      </c>
      <c r="G147" t="inlineStr">
        <is>
          <t>STORFORS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46324</v>
      </c>
      <c r="F148" t="inlineStr">
        <is>
          <t>VÄRMLANDS LÄN</t>
        </is>
      </c>
      <c r="G148" t="inlineStr">
        <is>
          <t>STORFORS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46317</v>
      </c>
      <c r="E149" s="1" t="n">
        <v>46324</v>
      </c>
      <c r="F149" t="inlineStr">
        <is>
          <t>VÄRMLANDS LÄN</t>
        </is>
      </c>
      <c r="G149" t="inlineStr">
        <is>
          <t>STORFORS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46324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46324</v>
      </c>
      <c r="F151" t="inlineStr">
        <is>
          <t>VÄRMLANDS LÄN</t>
        </is>
      </c>
      <c r="G151" t="inlineStr">
        <is>
          <t>STORFORS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44747</v>
      </c>
      <c r="E152" s="1" t="n">
        <v>46324</v>
      </c>
      <c r="F152" t="inlineStr">
        <is>
          <t>VÄRMLANDS LÄN</t>
        </is>
      </c>
      <c r="G152" t="inlineStr">
        <is>
          <t>STORFORS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46324</v>
      </c>
      <c r="F153" t="inlineStr">
        <is>
          <t>VÄRMLANDS LÄN</t>
        </is>
      </c>
      <c r="G153" t="inlineStr">
        <is>
          <t>STORFORS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46323</v>
      </c>
      <c r="E154" s="1" t="n">
        <v>46324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45520</v>
      </c>
      <c r="E155" s="1" t="n">
        <v>46324</v>
      </c>
      <c r="F155" t="inlineStr">
        <is>
          <t>VÄRMLANDS LÄN</t>
        </is>
      </c>
      <c r="G155" t="inlineStr">
        <is>
          <t>STORFORS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47713-2024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45588</v>
      </c>
      <c r="E156" s="1" t="n">
        <v>46324</v>
      </c>
      <c r="F156" t="inlineStr">
        <is>
          <t>VÄRMLANDS LÄN</t>
        </is>
      </c>
      <c r="G156" t="inlineStr">
        <is>
          <t>STORFORS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46280</v>
      </c>
      <c r="E157" s="1" t="n">
        <v>46324</v>
      </c>
      <c r="F157" t="inlineStr">
        <is>
          <t>VÄRMLANDS LÄN</t>
        </is>
      </c>
      <c r="G157" t="inlineStr">
        <is>
          <t>STORFORS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46324</v>
      </c>
      <c r="F158" t="inlineStr">
        <is>
          <t>VÄRMLANDS LÄN</t>
        </is>
      </c>
      <c r="G158" t="inlineStr">
        <is>
          <t>STORFORS</t>
        </is>
      </c>
      <c r="H158" t="inlineStr">
        <is>
          <t>Kyrkan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46281</v>
      </c>
      <c r="E159" s="1" t="n">
        <v>46324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35.1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4139-2023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45247</v>
      </c>
      <c r="E160" s="1" t="n">
        <v>46324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20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4141-2023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46324</v>
      </c>
      <c r="F161" t="inlineStr">
        <is>
          <t>VÄRMLANDS LÄN</t>
        </is>
      </c>
      <c r="G161" t="inlineStr">
        <is>
          <t>STORFORS</t>
        </is>
      </c>
      <c r="H161" t="inlineStr">
        <is>
          <t>Naturvårdsverket</t>
        </is>
      </c>
      <c r="I161" t="n">
        <v>20.6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733-2025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45716</v>
      </c>
      <c r="E162" s="1" t="n">
        <v>46324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33.7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98-2026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46036</v>
      </c>
      <c r="E163" s="1" t="n">
        <v>46324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72.5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1683-2026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46182</v>
      </c>
      <c r="E164" s="1" t="n">
        <v>46324</v>
      </c>
      <c r="F164" t="inlineStr">
        <is>
          <t>VÄRMLANDS LÄN</t>
        </is>
      </c>
      <c r="G164" t="inlineStr">
        <is>
          <t>STORFORS</t>
        </is>
      </c>
      <c r="I164" t="n">
        <v>37.1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2026-10-29T03:12:34Z</dcterms:created>
  <dcterms:modified xmlns:dcterms="http://purl.org/dc/terms/" xmlns:xsi="http://www.w3.org/2001/XMLSchema-instance" xsi:type="dcterms:W3CDTF">2026-10-29T03:12:34Z</dcterms:modified>
</cp:coreProperties>
</file>