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46248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46248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46248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Knölspindel</t>
        </is>
      </c>
      <c r="W4">
        <f>HYPERLINK("https://klasma.github.io/Logging_1760/artfynd/A 57209-2022 artfynd.xlsx", "A 57209-2022")</f>
        <v/>
      </c>
      <c r="X4">
        <f>HYPERLINK("https://klasma.github.io/Logging_1760/kartor/A 57209-2022 karta.png", "A 57209-2022")</f>
        <v/>
      </c>
      <c r="Y4">
        <f>HYPERLINK("https://klasma.github.io/Logging_1760/kartor_geotiff/A 57209-2022 georefererad karta.tif", "A 57209-2022")</f>
        <v/>
      </c>
      <c r="AA4">
        <f>HYPERLINK("https://klasma.github.io/Logging_1760/klagomål/A 57209-2022 FSC-klagomål.docx", "A 57209-2022")</f>
        <v/>
      </c>
      <c r="AB4">
        <f>HYPERLINK("https://klasma.github.io/Logging_1760/klagomålsmail/A 57209-2022 FSC-klagomål mail.docx", "A 57209-2022")</f>
        <v/>
      </c>
      <c r="AC4">
        <f>HYPERLINK("https://klasma.github.io/Logging_1760/tillsyn/A 57209-2022 tillsynsbegäran.docx", "A 57209-2022")</f>
        <v/>
      </c>
      <c r="AD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46248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46248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46248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46248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46248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46248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46248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46248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64814-2021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46248</v>
      </c>
      <c r="F13" t="inlineStr">
        <is>
          <t>VÄRMLANDS LÄN</t>
        </is>
      </c>
      <c r="G13" t="inlineStr">
        <is>
          <t>STORFORS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44841</v>
      </c>
      <c r="E14" s="1" t="n">
        <v>46248</v>
      </c>
      <c r="F14" t="inlineStr">
        <is>
          <t>VÄRMLANDS LÄN</t>
        </is>
      </c>
      <c r="G14" t="inlineStr">
        <is>
          <t>STORFORS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44783-2022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46248</v>
      </c>
      <c r="F15" t="inlineStr">
        <is>
          <t>VÄRMLANDS LÄN</t>
        </is>
      </c>
      <c r="G15" t="inlineStr">
        <is>
          <t>STORFORS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44484</v>
      </c>
      <c r="E16" s="1" t="n">
        <v>46248</v>
      </c>
      <c r="F16" t="inlineStr">
        <is>
          <t>VÄRMLANDS LÄN</t>
        </is>
      </c>
      <c r="G16" t="inlineStr">
        <is>
          <t>STORFORS</t>
        </is>
      </c>
      <c r="H16" t="inlineStr">
        <is>
          <t>Naturvårdsverket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46248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26201-2024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45468</v>
      </c>
      <c r="E18" s="1" t="n">
        <v>46248</v>
      </c>
      <c r="F18" t="inlineStr">
        <is>
          <t>VÄRMLANDS LÄN</t>
        </is>
      </c>
      <c r="G18" t="inlineStr">
        <is>
          <t>STORFORS</t>
        </is>
      </c>
      <c r="H18" t="inlineStr">
        <is>
          <t>Bergvik skog väst AB</t>
        </is>
      </c>
      <c r="I18" t="n">
        <v>25.4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44969</v>
      </c>
      <c r="E19" s="1" t="n">
        <v>46248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45726</v>
      </c>
      <c r="E20" s="1" t="n">
        <v>46248</v>
      </c>
      <c r="F20" t="inlineStr">
        <is>
          <t>VÄRMLANDS LÄN</t>
        </is>
      </c>
      <c r="G20" t="inlineStr">
        <is>
          <t>STORFORS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46248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44938</v>
      </c>
      <c r="E22" s="1" t="n">
        <v>46248</v>
      </c>
      <c r="F22" t="inlineStr">
        <is>
          <t>VÄRMLANDS LÄN</t>
        </is>
      </c>
      <c r="G22" t="inlineStr">
        <is>
          <t>STORFORS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46248</v>
      </c>
      <c r="F23" t="inlineStr">
        <is>
          <t>VÄRMLANDS LÄN</t>
        </is>
      </c>
      <c r="G23" t="inlineStr">
        <is>
          <t>STORFORS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13636-2024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46248</v>
      </c>
      <c r="F24" t="inlineStr">
        <is>
          <t>VÄRMLANDS LÄN</t>
        </is>
      </c>
      <c r="G24" t="inlineStr">
        <is>
          <t>STORFORS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45669</v>
      </c>
      <c r="E25" s="1" t="n">
        <v>46248</v>
      </c>
      <c r="F25" t="inlineStr">
        <is>
          <t>VÄRMLANDS LÄN</t>
        </is>
      </c>
      <c r="G25" t="inlineStr">
        <is>
          <t>STORFORS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39998-2023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46248</v>
      </c>
      <c r="F26" t="inlineStr">
        <is>
          <t>VÄRMLANDS LÄN</t>
        </is>
      </c>
      <c r="G26" t="inlineStr">
        <is>
          <t>STORFORS</t>
        </is>
      </c>
      <c r="I26" t="n">
        <v>4.2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54738-2023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45236</v>
      </c>
      <c r="E27" s="1" t="n">
        <v>46248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44900</v>
      </c>
      <c r="E28" s="1" t="n">
        <v>46248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46248</v>
      </c>
      <c r="F29" t="inlineStr">
        <is>
          <t>VÄRMLANDS LÄN</t>
        </is>
      </c>
      <c r="G29" t="inlineStr">
        <is>
          <t>STORFORS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44900</v>
      </c>
      <c r="E30" s="1" t="n">
        <v>46248</v>
      </c>
      <c r="F30" t="inlineStr">
        <is>
          <t>VÄRMLANDS LÄN</t>
        </is>
      </c>
      <c r="G30" t="inlineStr">
        <is>
          <t>STORFORS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45681</v>
      </c>
      <c r="E31" s="1" t="n">
        <v>46248</v>
      </c>
      <c r="F31" t="inlineStr">
        <is>
          <t>VÄRMLANDS LÄN</t>
        </is>
      </c>
      <c r="G31" t="inlineStr">
        <is>
          <t>STORFORS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45329</v>
      </c>
      <c r="E32" s="1" t="n">
        <v>46248</v>
      </c>
      <c r="F32" t="inlineStr">
        <is>
          <t>VÄRMLANDS LÄN</t>
        </is>
      </c>
      <c r="G32" t="inlineStr">
        <is>
          <t>STORFORS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38176-2024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46248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46248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28466-2022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46248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46248</v>
      </c>
      <c r="F36" t="inlineStr">
        <is>
          <t>VÄRMLANDS LÄN</t>
        </is>
      </c>
      <c r="G36" t="inlineStr">
        <is>
          <t>STORFORS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48591-2024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45593</v>
      </c>
      <c r="E37" s="1" t="n">
        <v>46248</v>
      </c>
      <c r="F37" t="inlineStr">
        <is>
          <t>VÄRMLANDS LÄN</t>
        </is>
      </c>
      <c r="G37" t="inlineStr">
        <is>
          <t>STORFORS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33806-2024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46248</v>
      </c>
      <c r="F38" t="inlineStr">
        <is>
          <t>VÄRMLANDS LÄN</t>
        </is>
      </c>
      <c r="G38" t="inlineStr">
        <is>
          <t>STORFORS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47713-2024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45588</v>
      </c>
      <c r="E39" s="1" t="n">
        <v>46248</v>
      </c>
      <c r="F39" t="inlineStr">
        <is>
          <t>VÄRMLANDS LÄN</t>
        </is>
      </c>
      <c r="G39" t="inlineStr">
        <is>
          <t>STORFORS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46248</v>
      </c>
      <c r="F40" t="inlineStr">
        <is>
          <t>VÄRMLANDS LÄN</t>
        </is>
      </c>
      <c r="G40" t="inlineStr">
        <is>
          <t>STORFORS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45203</v>
      </c>
      <c r="E41" s="1" t="n">
        <v>46248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30587-2023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46248</v>
      </c>
      <c r="F42" t="inlineStr">
        <is>
          <t>VÄRMLANDS LÄN</t>
        </is>
      </c>
      <c r="G42" t="inlineStr">
        <is>
          <t>STORFORS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46248</v>
      </c>
      <c r="F43" t="inlineStr">
        <is>
          <t>VÄRMLANDS LÄN</t>
        </is>
      </c>
      <c r="G43" t="inlineStr">
        <is>
          <t>STORFORS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22935-2023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45072</v>
      </c>
      <c r="E44" s="1" t="n">
        <v>46248</v>
      </c>
      <c r="F44" t="inlineStr">
        <is>
          <t>VÄRMLANDS LÄN</t>
        </is>
      </c>
      <c r="G44" t="inlineStr">
        <is>
          <t>STORFORS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44939</v>
      </c>
      <c r="E45" s="1" t="n">
        <v>46248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46248</v>
      </c>
      <c r="F46" t="inlineStr">
        <is>
          <t>VÄRMLANDS LÄN</t>
        </is>
      </c>
      <c r="G46" t="inlineStr">
        <is>
          <t>STORFORS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46248</v>
      </c>
      <c r="F47" t="inlineStr">
        <is>
          <t>VÄRMLANDS LÄN</t>
        </is>
      </c>
      <c r="G47" t="inlineStr">
        <is>
          <t>STORFORS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45560</v>
      </c>
      <c r="E48" s="1" t="n">
        <v>46248</v>
      </c>
      <c r="F48" t="inlineStr">
        <is>
          <t>VÄRMLANDS LÄN</t>
        </is>
      </c>
      <c r="G48" t="inlineStr">
        <is>
          <t>STORFORS</t>
        </is>
      </c>
      <c r="H48" t="inlineStr">
        <is>
          <t>Naturvårdsverket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46248</v>
      </c>
      <c r="F49" t="inlineStr">
        <is>
          <t>VÄRMLANDS LÄN</t>
        </is>
      </c>
      <c r="G49" t="inlineStr">
        <is>
          <t>STORFORS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46248</v>
      </c>
      <c r="F50" t="inlineStr">
        <is>
          <t>VÄRMLANDS LÄN</t>
        </is>
      </c>
      <c r="G50" t="inlineStr">
        <is>
          <t>STORFORS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46248</v>
      </c>
      <c r="F51" t="inlineStr">
        <is>
          <t>VÄRMLANDS LÄN</t>
        </is>
      </c>
      <c r="G51" t="inlineStr">
        <is>
          <t>STORFORS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17756-2023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45037</v>
      </c>
      <c r="E52" s="1" t="n">
        <v>46248</v>
      </c>
      <c r="F52" t="inlineStr">
        <is>
          <t>VÄRMLANDS LÄN</t>
        </is>
      </c>
      <c r="G52" t="inlineStr">
        <is>
          <t>STORFORS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46248</v>
      </c>
      <c r="F53" t="inlineStr">
        <is>
          <t>VÄRMLANDS LÄN</t>
        </is>
      </c>
      <c r="G53" t="inlineStr">
        <is>
          <t>STORFORS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45028</v>
      </c>
      <c r="E54" s="1" t="n">
        <v>46248</v>
      </c>
      <c r="F54" t="inlineStr">
        <is>
          <t>VÄRMLANDS LÄN</t>
        </is>
      </c>
      <c r="G54" t="inlineStr">
        <is>
          <t>STORFORS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44450</v>
      </c>
      <c r="E55" s="1" t="n">
        <v>46248</v>
      </c>
      <c r="F55" t="inlineStr">
        <is>
          <t>VÄRMLANDS LÄN</t>
        </is>
      </c>
      <c r="G55" t="inlineStr">
        <is>
          <t>STORFORS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46248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44728</v>
      </c>
      <c r="E57" s="1" t="n">
        <v>46248</v>
      </c>
      <c r="F57" t="inlineStr">
        <is>
          <t>VÄRMLANDS LÄN</t>
        </is>
      </c>
      <c r="G57" t="inlineStr">
        <is>
          <t>STORFORS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46248</v>
      </c>
      <c r="F58" t="inlineStr">
        <is>
          <t>VÄRMLANDS LÄN</t>
        </is>
      </c>
      <c r="G58" t="inlineStr">
        <is>
          <t>STORFORS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45708</v>
      </c>
      <c r="E59" s="1" t="n">
        <v>46248</v>
      </c>
      <c r="F59" t="inlineStr">
        <is>
          <t>VÄRMLANDS LÄN</t>
        </is>
      </c>
      <c r="G59" t="inlineStr">
        <is>
          <t>STORFORS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53202-2023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45229</v>
      </c>
      <c r="E60" s="1" t="n">
        <v>46248</v>
      </c>
      <c r="F60" t="inlineStr">
        <is>
          <t>VÄRMLANDS LÄN</t>
        </is>
      </c>
      <c r="G60" t="inlineStr">
        <is>
          <t>STORFORS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36697-2023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46248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58586-2024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46248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15442-2024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46248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45058</v>
      </c>
      <c r="E64" s="1" t="n">
        <v>46248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45007</v>
      </c>
      <c r="E65" s="1" t="n">
        <v>46248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46248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45711</v>
      </c>
      <c r="E67" s="1" t="n">
        <v>46248</v>
      </c>
      <c r="F67" t="inlineStr">
        <is>
          <t>VÄRMLANDS LÄN</t>
        </is>
      </c>
      <c r="G67" t="inlineStr">
        <is>
          <t>STORFORS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46248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51.6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46248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46248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70761-2021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44536</v>
      </c>
      <c r="E71" s="1" t="n">
        <v>46248</v>
      </c>
      <c r="F71" t="inlineStr">
        <is>
          <t>VÄRMLANDS LÄN</t>
        </is>
      </c>
      <c r="G71" t="inlineStr">
        <is>
          <t>STORFORS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45818</v>
      </c>
      <c r="E72" s="1" t="n">
        <v>46248</v>
      </c>
      <c r="F72" t="inlineStr">
        <is>
          <t>VÄRMLANDS LÄN</t>
        </is>
      </c>
      <c r="G72" t="inlineStr">
        <is>
          <t>STORFORS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46248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45226</v>
      </c>
      <c r="E74" s="1" t="n">
        <v>46248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46248</v>
      </c>
      <c r="F75" t="inlineStr">
        <is>
          <t>VÄRMLANDS LÄN</t>
        </is>
      </c>
      <c r="G75" t="inlineStr">
        <is>
          <t>STORFORS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46248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46248</v>
      </c>
      <c r="F77" t="inlineStr">
        <is>
          <t>VÄRMLANDS LÄN</t>
        </is>
      </c>
      <c r="G77" t="inlineStr">
        <is>
          <t>STORFORS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46248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46248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46248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44747</v>
      </c>
      <c r="E81" s="1" t="n">
        <v>46248</v>
      </c>
      <c r="F81" t="inlineStr">
        <is>
          <t>VÄRMLANDS LÄN</t>
        </is>
      </c>
      <c r="G81" t="inlineStr">
        <is>
          <t>STORFORS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20453-2026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46248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46248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46248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46248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46248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45355</v>
      </c>
      <c r="E87" s="1" t="n">
        <v>46248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20749-2026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46248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46248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46248</v>
      </c>
      <c r="F90" t="inlineStr">
        <is>
          <t>VÄRMLANDS LÄN</t>
        </is>
      </c>
      <c r="G90" t="inlineStr">
        <is>
          <t>STORFORS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33273-2025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45840</v>
      </c>
      <c r="E91" s="1" t="n">
        <v>46248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46248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46248</v>
      </c>
      <c r="F93" t="inlineStr">
        <is>
          <t>VÄRMLANDS LÄN</t>
        </is>
      </c>
      <c r="G93" t="inlineStr">
        <is>
          <t>STORFORS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46248</v>
      </c>
      <c r="F94" t="inlineStr">
        <is>
          <t>VÄRMLANDS LÄN</t>
        </is>
      </c>
      <c r="G94" t="inlineStr">
        <is>
          <t>STORFORS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46248</v>
      </c>
      <c r="F95" t="inlineStr">
        <is>
          <t>VÄRMLANDS LÄN</t>
        </is>
      </c>
      <c r="G95" t="inlineStr">
        <is>
          <t>STORFORS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45881</v>
      </c>
      <c r="E96" s="1" t="n">
        <v>46248</v>
      </c>
      <c r="F96" t="inlineStr">
        <is>
          <t>VÄRMLANDS LÄN</t>
        </is>
      </c>
      <c r="G96" t="inlineStr">
        <is>
          <t>STORFORS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45680</v>
      </c>
      <c r="E97" s="1" t="n">
        <v>46248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46248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46248</v>
      </c>
      <c r="F99" t="inlineStr">
        <is>
          <t>VÄRMLANDS LÄN</t>
        </is>
      </c>
      <c r="G99" t="inlineStr">
        <is>
          <t>STORFORS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46248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46248</v>
      </c>
      <c r="F101" t="inlineStr">
        <is>
          <t>VÄRMLANDS LÄN</t>
        </is>
      </c>
      <c r="G101" t="inlineStr">
        <is>
          <t>STORFORS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46248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46248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29829-2026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46248</v>
      </c>
      <c r="F104" t="inlineStr">
        <is>
          <t>VÄRMLANDS LÄN</t>
        </is>
      </c>
      <c r="G104" t="inlineStr">
        <is>
          <t>STORFORS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45396</v>
      </c>
      <c r="E105" s="1" t="n">
        <v>46248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45660</v>
      </c>
      <c r="E106" s="1" t="n">
        <v>46248</v>
      </c>
      <c r="F106" t="inlineStr">
        <is>
          <t>VÄRMLANDS LÄN</t>
        </is>
      </c>
      <c r="G106" t="inlineStr">
        <is>
          <t>STORFORS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46612-2025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46248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30425-2026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46209</v>
      </c>
      <c r="E108" s="1" t="n">
        <v>46248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46248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46248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45957</v>
      </c>
      <c r="E111" s="1" t="n">
        <v>46248</v>
      </c>
      <c r="F111" t="inlineStr">
        <is>
          <t>VÄRMLANDS LÄN</t>
        </is>
      </c>
      <c r="G111" t="inlineStr">
        <is>
          <t>STORFORS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31441-2026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46220</v>
      </c>
      <c r="E112" s="1" t="n">
        <v>46248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46248</v>
      </c>
      <c r="F113" t="inlineStr">
        <is>
          <t>VÄRMLANDS LÄN</t>
        </is>
      </c>
      <c r="G113" t="inlineStr">
        <is>
          <t>STORFORS</t>
        </is>
      </c>
      <c r="H113" t="inlineStr">
        <is>
          <t>Naturvårdsverket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46248</v>
      </c>
      <c r="F114" t="inlineStr">
        <is>
          <t>VÄRMLANDS LÄN</t>
        </is>
      </c>
      <c r="G114" t="inlineStr">
        <is>
          <t>STORFORS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46248</v>
      </c>
      <c r="F115" t="inlineStr">
        <is>
          <t>VÄRMLANDS LÄN</t>
        </is>
      </c>
      <c r="G115" t="inlineStr">
        <is>
          <t>STORFORS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45968</v>
      </c>
      <c r="E116" s="1" t="n">
        <v>46248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46248</v>
      </c>
      <c r="F117" t="inlineStr">
        <is>
          <t>VÄRMLANDS LÄN</t>
        </is>
      </c>
      <c r="G117" t="inlineStr">
        <is>
          <t>STORFORS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46248</v>
      </c>
      <c r="F118" t="inlineStr">
        <is>
          <t>VÄRMLANDS LÄN</t>
        </is>
      </c>
      <c r="G118" t="inlineStr">
        <is>
          <t>STORFORS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46227</v>
      </c>
      <c r="E119" s="1" t="n">
        <v>46248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46248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46232</v>
      </c>
      <c r="E121" s="1" t="n">
        <v>46248</v>
      </c>
      <c r="F121" t="inlineStr">
        <is>
          <t>VÄRMLANDS LÄN</t>
        </is>
      </c>
      <c r="G121" t="inlineStr">
        <is>
          <t>STORFORS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46248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46248</v>
      </c>
      <c r="F123" t="inlineStr">
        <is>
          <t>VÄRMLANDS LÄN</t>
        </is>
      </c>
      <c r="G123" t="inlineStr">
        <is>
          <t>STORFORS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46248</v>
      </c>
      <c r="F124" t="inlineStr">
        <is>
          <t>VÄRMLANDS LÄN</t>
        </is>
      </c>
      <c r="G124" t="inlineStr">
        <is>
          <t>STORFORS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46248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46248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28979-2026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46199</v>
      </c>
      <c r="E127" s="1" t="n">
        <v>46248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46248</v>
      </c>
      <c r="F128" t="inlineStr">
        <is>
          <t>VÄRMLANDS LÄN</t>
        </is>
      </c>
      <c r="G128" t="inlineStr">
        <is>
          <t>STORFORS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46203</v>
      </c>
      <c r="E129" s="1" t="n">
        <v>46248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63572-2025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46248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62987-2025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46009</v>
      </c>
      <c r="E131" s="1" t="n">
        <v>46248</v>
      </c>
      <c r="F131" t="inlineStr">
        <is>
          <t>VÄRMLANDS LÄN</t>
        </is>
      </c>
      <c r="G131" t="inlineStr">
        <is>
          <t>STORFORS</t>
        </is>
      </c>
      <c r="H131" t="inlineStr">
        <is>
          <t>Naturvårdsverket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46248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46248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63080-2025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46248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46248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46203</v>
      </c>
      <c r="E136" s="1" t="n">
        <v>46248</v>
      </c>
      <c r="F136" t="inlineStr">
        <is>
          <t>VÄRMLANDS LÄN</t>
        </is>
      </c>
      <c r="G136" t="inlineStr">
        <is>
          <t>STORFORS</t>
        </is>
      </c>
      <c r="H136" t="inlineStr">
        <is>
          <t>Naturvårdsverket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46045</v>
      </c>
      <c r="E137" s="1" t="n">
        <v>46248</v>
      </c>
      <c r="F137" t="inlineStr">
        <is>
          <t>VÄRMLANDS LÄN</t>
        </is>
      </c>
      <c r="G137" t="inlineStr">
        <is>
          <t>STORFORS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46248</v>
      </c>
      <c r="F138" t="inlineStr">
        <is>
          <t>VÄRMLANDS LÄN</t>
        </is>
      </c>
      <c r="G138" t="inlineStr">
        <is>
          <t>STORFORS</t>
        </is>
      </c>
      <c r="I138" t="n">
        <v>10.8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46248</v>
      </c>
      <c r="F139" t="inlineStr">
        <is>
          <t>VÄRMLANDS LÄN</t>
        </is>
      </c>
      <c r="G139" t="inlineStr">
        <is>
          <t>STORFORS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46248</v>
      </c>
      <c r="F140" t="inlineStr">
        <is>
          <t>VÄRMLANDS LÄN</t>
        </is>
      </c>
      <c r="G140" t="inlineStr">
        <is>
          <t>STORFORS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46248</v>
      </c>
      <c r="F141" t="inlineStr">
        <is>
          <t>VÄRMLANDS LÄN</t>
        </is>
      </c>
      <c r="G141" t="inlineStr">
        <is>
          <t>STORFORS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46248</v>
      </c>
      <c r="F142" t="inlineStr">
        <is>
          <t>VÄRMLANDS LÄN</t>
        </is>
      </c>
      <c r="G142" t="inlineStr">
        <is>
          <t>STORFORS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13185-2026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46248</v>
      </c>
      <c r="F143" t="inlineStr">
        <is>
          <t>VÄRMLANDS LÄN</t>
        </is>
      </c>
      <c r="G143" t="inlineStr">
        <is>
          <t>STORFORS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46248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46248</v>
      </c>
      <c r="F145" t="inlineStr">
        <is>
          <t>VÄRMLANDS LÄN</t>
        </is>
      </c>
      <c r="G145" t="inlineStr">
        <is>
          <t>STORFORS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46248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46248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14.1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44938</v>
      </c>
      <c r="E148" s="1" t="n">
        <v>46248</v>
      </c>
      <c r="F148" t="inlineStr">
        <is>
          <t>VÄRMLANDS LÄN</t>
        </is>
      </c>
      <c r="G148" t="inlineStr">
        <is>
          <t>STORFORS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46248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46248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46248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46248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46248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2026-08-14T01:56:11Z</dcterms:created>
  <dcterms:modified xmlns:dcterms="http://purl.org/dc/terms/" xmlns:xsi="http://www.w3.org/2001/XMLSchema-instance" xsi:type="dcterms:W3CDTF">2026-08-14T01:56:11Z</dcterms:modified>
</cp:coreProperties>
</file>