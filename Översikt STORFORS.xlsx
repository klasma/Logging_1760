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24631-2024</t>
        </is>
      </c>
      <c r="B2" s="1" t="n">
        <v>45460</v>
      </c>
      <c r="C2" s="1" t="n">
        <v>45851</v>
      </c>
      <c r="D2" t="inlineStr">
        <is>
          <t>VÄRMLANDS LÄN</t>
        </is>
      </c>
      <c r="E2" t="inlineStr">
        <is>
          <t>STORFORS</t>
        </is>
      </c>
      <c r="G2" t="n">
        <v>21.2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Björktrast
Gulsparv
Havsörn
Smålom
Enkelbeckasin
Gröngöling
Grönsiska
Nattskärra
Trana</t>
        </is>
      </c>
      <c r="S2">
        <f>HYPERLINK("https://klasma.github.io/Logging_1760/artfynd/A 24631-2024 artfynd.xlsx", "A 24631-2024")</f>
        <v/>
      </c>
      <c r="T2">
        <f>HYPERLINK("https://klasma.github.io/Logging_1760/kartor/A 24631-2024 karta.png", "A 24631-2024")</f>
        <v/>
      </c>
      <c r="V2">
        <f>HYPERLINK("https://klasma.github.io/Logging_1760/klagomål/A 24631-2024 FSC-klagomål.docx", "A 24631-2024")</f>
        <v/>
      </c>
      <c r="W2">
        <f>HYPERLINK("https://klasma.github.io/Logging_1760/klagomålsmail/A 24631-2024 FSC-klagomål mail.docx", "A 24631-2024")</f>
        <v/>
      </c>
      <c r="X2">
        <f>HYPERLINK("https://klasma.github.io/Logging_1760/tillsyn/A 24631-2024 tillsynsbegäran.docx", "A 24631-2024")</f>
        <v/>
      </c>
      <c r="Y2">
        <f>HYPERLINK("https://klasma.github.io/Logging_1760/tillsynsmail/A 24631-2024 tillsynsbegäran mail.docx", "A 24631-2024")</f>
        <v/>
      </c>
      <c r="Z2">
        <f>HYPERLINK("https://klasma.github.io/Logging_1760/fåglar/A 24631-2024 prioriterade fågelarter.docx", "A 24631-2024")</f>
        <v/>
      </c>
    </row>
    <row r="3" ht="15" customHeight="1">
      <c r="A3" t="inlineStr">
        <is>
          <t>A 21083-2023</t>
        </is>
      </c>
      <c r="B3" s="1" t="n">
        <v>45061</v>
      </c>
      <c r="C3" s="1" t="n">
        <v>45851</v>
      </c>
      <c r="D3" t="inlineStr">
        <is>
          <t>VÄRMLANDS LÄN</t>
        </is>
      </c>
      <c r="E3" t="inlineStr">
        <is>
          <t>STORFORS</t>
        </is>
      </c>
      <c r="G3" t="n">
        <v>7.4</v>
      </c>
      <c r="H3" t="n">
        <v>2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Tretåig hackspett
Ullticka
Vedtrappmossa
Thomsons trägnagare
Vedticka
Västlig hakmossa</t>
        </is>
      </c>
      <c r="S3">
        <f>HYPERLINK("https://klasma.github.io/Logging_1760/artfynd/A 21083-2023 artfynd.xlsx", "A 21083-2023")</f>
        <v/>
      </c>
      <c r="T3">
        <f>HYPERLINK("https://klasma.github.io/Logging_1760/kartor/A 21083-2023 karta.png", "A 21083-2023")</f>
        <v/>
      </c>
      <c r="U3">
        <f>HYPERLINK("https://klasma.github.io/Logging_1760/knärot/A 21083-2023 karta knärot.png", "A 21083-2023")</f>
        <v/>
      </c>
      <c r="V3">
        <f>HYPERLINK("https://klasma.github.io/Logging_1760/klagomål/A 21083-2023 FSC-klagomål.docx", "A 21083-2023")</f>
        <v/>
      </c>
      <c r="W3">
        <f>HYPERLINK("https://klasma.github.io/Logging_1760/klagomålsmail/A 21083-2023 FSC-klagomål mail.docx", "A 21083-2023")</f>
        <v/>
      </c>
      <c r="X3">
        <f>HYPERLINK("https://klasma.github.io/Logging_1760/tillsyn/A 21083-2023 tillsynsbegäran.docx", "A 21083-2023")</f>
        <v/>
      </c>
      <c r="Y3">
        <f>HYPERLINK("https://klasma.github.io/Logging_1760/tillsynsmail/A 21083-2023 tillsynsbegäran mail.docx", "A 21083-2023")</f>
        <v/>
      </c>
      <c r="Z3">
        <f>HYPERLINK("https://klasma.github.io/Logging_1760/fåglar/A 21083-2023 prioriterade fågelarter.docx", "A 21083-2023")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45851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45851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45851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45851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45851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45851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45851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45851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45851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45851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45851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45851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45851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45851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45851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45851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45851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45851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45851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45851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45851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45851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45851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45851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45851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45851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45851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45851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45851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45851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45851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45851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45851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45851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45851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45851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45851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45851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45851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45851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45851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45851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45851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45851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45851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45851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45851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45851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45851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45851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45851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45851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45851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45851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45851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45851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45851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45851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45851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45851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45851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45851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45851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45851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45851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45851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45851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45851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45851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45851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45851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45851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45851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45851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45851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45851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45851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45851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45851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45851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45851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45851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45851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45851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45851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45851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45851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45851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45851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45851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45851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45851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45851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45851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45851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45851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45851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45851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45851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45851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45851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45851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45851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45851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45851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45851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45851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45851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45851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45851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45851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45851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45851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45851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45851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45851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45851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45851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45851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45851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45851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45851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45851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45851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45851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45851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45851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45851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45851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45851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45851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45851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45851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45851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45851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45851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45851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45851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45851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45851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45851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45851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45851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45851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45851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45851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45851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45851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45851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45851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45851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45851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45851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45851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45851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45851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45851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45851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45851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45851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45851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45851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45851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45851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45851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45851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45851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45851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45851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45851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45851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45851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45851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45851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45851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45851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45851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45851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45851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45851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45851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45851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45851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45851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45851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45851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45851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45851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45851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45851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45851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45851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45851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45851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45851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45851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45851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45851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45851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45851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45851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45851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45851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45851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45851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45851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45851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45851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45851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45851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45851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45851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45851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45851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45851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45851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45851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45851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45851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45851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45851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45851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45851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45851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45851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45851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45851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45851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45851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45851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45851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45851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45851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45851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45851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45851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45851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45851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45851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45851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45851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45851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45851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45851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45851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45851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45851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45851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45851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45851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45851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45851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45851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45851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45851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45851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45851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45851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45851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45851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45851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45851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45851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45851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45851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45851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45851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45851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45851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45851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45851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45851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45851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45851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45851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45851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45851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45851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45851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45851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45851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45851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45851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45851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45851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45851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45851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45851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45851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45851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45851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45851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45851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45851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45851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45851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45851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45851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45851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45851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45851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45851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45851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45851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45851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45851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45851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45851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45851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45851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45851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45851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45851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45851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45851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45851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45851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45851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45851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45851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45851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45851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45851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45851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45851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45851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45851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45851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45851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45851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45851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45851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45851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45851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45851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45851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45851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45851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45851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45851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45851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45851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45851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45851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45851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45851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45851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45851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45851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45851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45851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45851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45851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45851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45851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45851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45851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45851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45851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45851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45851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45851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45851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45851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45851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45851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45851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45851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45851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45851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45851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45851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45851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45851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45851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45851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45851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45851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45851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45851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45851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45851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45851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45851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45851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45851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45851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45851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45851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45851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45851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45851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45851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45851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45851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45851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45851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33273-2025</t>
        </is>
      </c>
      <c r="B401" s="1" t="n">
        <v>45840</v>
      </c>
      <c r="C401" s="1" t="n">
        <v>45851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33120-2025</t>
        </is>
      </c>
      <c r="B402" s="1" t="n">
        <v>45840</v>
      </c>
      <c r="C402" s="1" t="n">
        <v>45851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33143-2025</t>
        </is>
      </c>
      <c r="B403" s="1" t="n">
        <v>45840</v>
      </c>
      <c r="C403" s="1" t="n">
        <v>45851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45851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45851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2025-07-13T19:46:14Z</dcterms:created>
  <dcterms:modified xmlns:dcterms="http://purl.org/dc/terms/" xmlns:xsi="http://www.w3.org/2001/XMLSchema-instance" xsi:type="dcterms:W3CDTF">2025-07-13T19:46:14Z</dcterms:modified>
</cp:coreProperties>
</file>