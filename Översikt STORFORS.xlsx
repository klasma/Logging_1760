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57209-2022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44895</v>
      </c>
      <c r="E4" s="1" t="n">
        <v>46296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6.3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Knölspindel</t>
        </is>
      </c>
      <c r="W4">
        <f>HYPERLINK("https://klasma.github.io/Logging_1760/artfynd/A 57209-2022 artfynd.xlsx", "A 57209-2022")</f>
        <v/>
      </c>
      <c r="X4">
        <f>HYPERLINK("https://klasma.github.io/Logging_1760/kartor/A 57209-2022 karta.png", "A 57209-2022")</f>
        <v/>
      </c>
      <c r="Y4">
        <f>HYPERLINK("https://klasma.github.io/Logging_1760/kartor_geotiff/A 57209-2022 georefererad karta.tif", "A 57209-2022")</f>
        <v/>
      </c>
      <c r="AA4">
        <f>HYPERLINK("https://klasma.github.io/Logging_1760/klagomål/A 57209-2022 FSC-klagomål.docx", "A 57209-2022")</f>
        <v/>
      </c>
      <c r="AB4">
        <f>HYPERLINK("https://klasma.github.io/Logging_1760/klagomålsmail/A 57209-2022 FSC-klagomål mail.docx", "A 57209-2022")</f>
        <v/>
      </c>
      <c r="AC4">
        <f>HYPERLINK("https://klasma.github.io/Logging_1760/tillsyn/A 57209-2022 tillsynsbegäran.docx", "A 57209-2022")</f>
        <v/>
      </c>
      <c r="AD4">
        <f>HYPERLINK("https://klasma.github.io/Logging_1760/tillsynsmail/A 57209-2022 tillsynsbegäran mail.docx", "A 57209-2022")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46296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46296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46296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37716-2025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46296</v>
      </c>
      <c r="F8" t="inlineStr">
        <is>
          <t>VÄRMLANDS LÄN</t>
        </is>
      </c>
      <c r="G8" t="inlineStr">
        <is>
          <t>STORFORS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Ullticka</t>
        </is>
      </c>
      <c r="W8">
        <f>HYPERLINK("https://klasma.github.io/Logging_1760/artfynd/A 37716-2025 artfynd.xlsx", "A 37716-2025")</f>
        <v/>
      </c>
      <c r="X8">
        <f>HYPERLINK("https://klasma.github.io/Logging_1760/kartor/A 37716-2025 karta.png", "A 37716-2025")</f>
        <v/>
      </c>
      <c r="Y8">
        <f>HYPERLINK("https://klasma.github.io/Logging_1760/kartor_geotiff/A 37716-2025 georefererad karta.tif", "A 37716-2025")</f>
        <v/>
      </c>
      <c r="AA8">
        <f>HYPERLINK("https://klasma.github.io/Logging_1760/klagomål/A 37716-2025 FSC-klagomål.docx", "A 37716-2025")</f>
        <v/>
      </c>
      <c r="AB8">
        <f>HYPERLINK("https://klasma.github.io/Logging_1760/klagomålsmail/A 37716-2025 FSC-klagomål mail.docx", "A 37716-2025")</f>
        <v/>
      </c>
      <c r="AC8">
        <f>HYPERLINK("https://klasma.github.io/Logging_1760/tillsyn/A 37716-2025 tillsynsbegäran.docx", "A 37716-2025")</f>
        <v/>
      </c>
      <c r="AD8">
        <f>HYPERLINK("https://klasma.github.io/Logging_1760/tillsynsmail/A 37716-2025 tillsynsbegäran mail.docx", "A 37716-2025")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46296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46296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46296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46296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46296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46296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46296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44484</v>
      </c>
      <c r="E16" s="1" t="n">
        <v>46296</v>
      </c>
      <c r="F16" t="inlineStr">
        <is>
          <t>VÄRMLANDS LÄN</t>
        </is>
      </c>
      <c r="G16" t="inlineStr">
        <is>
          <t>STORFORS</t>
        </is>
      </c>
      <c r="H16" t="inlineStr">
        <is>
          <t>Naturvårdsverket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46296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46296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46296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6856-2025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45700</v>
      </c>
      <c r="E20" s="1" t="n">
        <v>46296</v>
      </c>
      <c r="F20" t="inlineStr">
        <is>
          <t>VÄRMLANDS LÄN</t>
        </is>
      </c>
      <c r="G20" t="inlineStr">
        <is>
          <t>STORFORS</t>
        </is>
      </c>
      <c r="H20" t="inlineStr">
        <is>
          <t>Kyrkan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45711</v>
      </c>
      <c r="E21" s="1" t="n">
        <v>46296</v>
      </c>
      <c r="F21" t="inlineStr">
        <is>
          <t>VÄRMLANDS LÄN</t>
        </is>
      </c>
      <c r="G21" t="inlineStr">
        <is>
          <t>STORFORS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45174</v>
      </c>
      <c r="E22" s="1" t="n">
        <v>46296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36697-2023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45153</v>
      </c>
      <c r="E23" s="1" t="n">
        <v>46296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70761-2021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46296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46296</v>
      </c>
      <c r="F25" t="inlineStr">
        <is>
          <t>VÄRMLANDS LÄN</t>
        </is>
      </c>
      <c r="G25" t="inlineStr">
        <is>
          <t>STORFORS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46296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20725-2023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46296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14.9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46296</v>
      </c>
      <c r="F28" t="inlineStr">
        <is>
          <t>VÄRMLANDS LÄN</t>
        </is>
      </c>
      <c r="G28" t="inlineStr">
        <is>
          <t>STORFORS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45204</v>
      </c>
      <c r="E29" s="1" t="n">
        <v>46296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46296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57792-2022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44897</v>
      </c>
      <c r="E31" s="1" t="n">
        <v>46296</v>
      </c>
      <c r="F31" t="inlineStr">
        <is>
          <t>VÄRMLANDS LÄN</t>
        </is>
      </c>
      <c r="G31" t="inlineStr">
        <is>
          <t>STORFORS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39025-2023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46296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46296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25.4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47728-2023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46296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44969</v>
      </c>
      <c r="E35" s="1" t="n">
        <v>46296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5.4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28467-2022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44747</v>
      </c>
      <c r="E36" s="1" t="n">
        <v>46296</v>
      </c>
      <c r="F36" t="inlineStr">
        <is>
          <t>VÄRMLANDS LÄN</t>
        </is>
      </c>
      <c r="G36" t="inlineStr">
        <is>
          <t>STORFORS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45726</v>
      </c>
      <c r="E37" s="1" t="n">
        <v>46296</v>
      </c>
      <c r="F37" t="inlineStr">
        <is>
          <t>VÄRMLANDS LÄN</t>
        </is>
      </c>
      <c r="G37" t="inlineStr">
        <is>
          <t>STORFORS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13636-2024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45390</v>
      </c>
      <c r="E38" s="1" t="n">
        <v>46296</v>
      </c>
      <c r="F38" t="inlineStr">
        <is>
          <t>VÄRMLANDS LÄN</t>
        </is>
      </c>
      <c r="G38" t="inlineStr">
        <is>
          <t>STORFORS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45669</v>
      </c>
      <c r="E39" s="1" t="n">
        <v>46296</v>
      </c>
      <c r="F39" t="inlineStr">
        <is>
          <t>VÄRMLANDS LÄN</t>
        </is>
      </c>
      <c r="G39" t="inlineStr">
        <is>
          <t>STORFORS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46296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53353-2024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45614</v>
      </c>
      <c r="E41" s="1" t="n">
        <v>46296</v>
      </c>
      <c r="F41" t="inlineStr">
        <is>
          <t>VÄRMLANDS LÄN</t>
        </is>
      </c>
      <c r="G41" t="inlineStr">
        <is>
          <t>STORFORS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39998-2023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46296</v>
      </c>
      <c r="F42" t="inlineStr">
        <is>
          <t>VÄRMLANDS LÄN</t>
        </is>
      </c>
      <c r="G42" t="inlineStr">
        <is>
          <t>STORFORS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45236</v>
      </c>
      <c r="E43" s="1" t="n">
        <v>46296</v>
      </c>
      <c r="F43" t="inlineStr">
        <is>
          <t>VÄRMLANDS LÄN</t>
        </is>
      </c>
      <c r="G43" t="inlineStr">
        <is>
          <t>STORFORS</t>
        </is>
      </c>
      <c r="H43" t="inlineStr">
        <is>
          <t>Naturvårdsverket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46296</v>
      </c>
      <c r="F44" t="inlineStr">
        <is>
          <t>VÄRMLANDS LÄN</t>
        </is>
      </c>
      <c r="G44" t="inlineStr">
        <is>
          <t>STORFORS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57981-2022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44900</v>
      </c>
      <c r="E45" s="1" t="n">
        <v>46296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46296</v>
      </c>
      <c r="F46" t="inlineStr">
        <is>
          <t>VÄRMLANDS LÄN</t>
        </is>
      </c>
      <c r="G46" t="inlineStr">
        <is>
          <t>STORFORS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48591-2024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45593</v>
      </c>
      <c r="E47" s="1" t="n">
        <v>46296</v>
      </c>
      <c r="F47" t="inlineStr">
        <is>
          <t>VÄRMLANDS LÄN</t>
        </is>
      </c>
      <c r="G47" t="inlineStr">
        <is>
          <t>STORFORS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45681</v>
      </c>
      <c r="E48" s="1" t="n">
        <v>46296</v>
      </c>
      <c r="F48" t="inlineStr">
        <is>
          <t>VÄRMLANDS LÄN</t>
        </is>
      </c>
      <c r="G48" t="inlineStr">
        <is>
          <t>STORFORS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35370-2023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45146</v>
      </c>
      <c r="E49" s="1" t="n">
        <v>46296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53912-2024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46296</v>
      </c>
      <c r="F50" t="inlineStr">
        <is>
          <t>VÄRMLANDS LÄN</t>
        </is>
      </c>
      <c r="G50" t="inlineStr">
        <is>
          <t>STORFORS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46296</v>
      </c>
      <c r="F51" t="inlineStr">
        <is>
          <t>VÄRMLANDS LÄN</t>
        </is>
      </c>
      <c r="G51" t="inlineStr">
        <is>
          <t>STORFORS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30587-2023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46296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46296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45688</v>
      </c>
      <c r="E54" s="1" t="n">
        <v>46296</v>
      </c>
      <c r="F54" t="inlineStr">
        <is>
          <t>VÄRMLANDS LÄN</t>
        </is>
      </c>
      <c r="G54" t="inlineStr">
        <is>
          <t>STORFORS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45396</v>
      </c>
      <c r="E55" s="1" t="n">
        <v>46296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9.6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45660</v>
      </c>
      <c r="E56" s="1" t="n">
        <v>46296</v>
      </c>
      <c r="F56" t="inlineStr">
        <is>
          <t>VÄRMLANDS LÄN</t>
        </is>
      </c>
      <c r="G56" t="inlineStr">
        <is>
          <t>STORFORS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45614</v>
      </c>
      <c r="E57" s="1" t="n">
        <v>46296</v>
      </c>
      <c r="F57" t="inlineStr">
        <is>
          <t>VÄRMLANDS LÄN</t>
        </is>
      </c>
      <c r="G57" t="inlineStr">
        <is>
          <t>STORFORS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46296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28466-2022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44747</v>
      </c>
      <c r="E59" s="1" t="n">
        <v>46296</v>
      </c>
      <c r="F59" t="inlineStr">
        <is>
          <t>VÄRMLANDS LÄN</t>
        </is>
      </c>
      <c r="G59" t="inlineStr">
        <is>
          <t>STORFORS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38176-2024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46296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45372</v>
      </c>
      <c r="E61" s="1" t="n">
        <v>46296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45520</v>
      </c>
      <c r="E62" s="1" t="n">
        <v>46296</v>
      </c>
      <c r="F62" t="inlineStr">
        <is>
          <t>VÄRMLANDS LÄN</t>
        </is>
      </c>
      <c r="G62" t="inlineStr">
        <is>
          <t>STORFORS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44728</v>
      </c>
      <c r="E63" s="1" t="n">
        <v>46296</v>
      </c>
      <c r="F63" t="inlineStr">
        <is>
          <t>VÄRMLANDS LÄN</t>
        </is>
      </c>
      <c r="G63" t="inlineStr">
        <is>
          <t>STORFORS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47713-2024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45588</v>
      </c>
      <c r="E64" s="1" t="n">
        <v>46296</v>
      </c>
      <c r="F64" t="inlineStr">
        <is>
          <t>VÄRMLANDS LÄN</t>
        </is>
      </c>
      <c r="G64" t="inlineStr">
        <is>
          <t>STORFORS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45708</v>
      </c>
      <c r="E65" s="1" t="n">
        <v>46296</v>
      </c>
      <c r="F65" t="inlineStr">
        <is>
          <t>VÄRMLANDS LÄN</t>
        </is>
      </c>
      <c r="G65" t="inlineStr">
        <is>
          <t>STORFORS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46296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46296</v>
      </c>
      <c r="F67" t="inlineStr">
        <is>
          <t>VÄRMLANDS LÄN</t>
        </is>
      </c>
      <c r="G67" t="inlineStr">
        <is>
          <t>STORFORS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46296</v>
      </c>
      <c r="F68" t="inlineStr">
        <is>
          <t>VÄRMLANDS LÄN</t>
        </is>
      </c>
      <c r="G68" t="inlineStr">
        <is>
          <t>STORFORS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46296</v>
      </c>
      <c r="F69" t="inlineStr">
        <is>
          <t>VÄRMLANDS LÄN</t>
        </is>
      </c>
      <c r="G69" t="inlineStr">
        <is>
          <t>STORFORS</t>
        </is>
      </c>
      <c r="H69" t="inlineStr">
        <is>
          <t>Kyrkan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45068</v>
      </c>
      <c r="E70" s="1" t="n">
        <v>46296</v>
      </c>
      <c r="F70" t="inlineStr">
        <is>
          <t>VÄRMLANDS LÄN</t>
        </is>
      </c>
      <c r="G70" t="inlineStr">
        <is>
          <t>STORFORS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44907</v>
      </c>
      <c r="E71" s="1" t="n">
        <v>46296</v>
      </c>
      <c r="F71" t="inlineStr">
        <is>
          <t>VÄRMLANDS LÄN</t>
        </is>
      </c>
      <c r="G71" t="inlineStr">
        <is>
          <t>STORFORS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54190-2023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46296</v>
      </c>
      <c r="F72" t="inlineStr">
        <is>
          <t>VÄRMLANDS LÄN</t>
        </is>
      </c>
      <c r="G72" t="inlineStr">
        <is>
          <t>STORFORS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17756-2023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46296</v>
      </c>
      <c r="F73" t="inlineStr">
        <is>
          <t>VÄRMLANDS LÄN</t>
        </is>
      </c>
      <c r="G73" t="inlineStr">
        <is>
          <t>STORFORS</t>
        </is>
      </c>
      <c r="I73" t="n">
        <v>8.1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45028</v>
      </c>
      <c r="E74" s="1" t="n">
        <v>46296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46296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51.6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46296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46296</v>
      </c>
      <c r="F77" t="inlineStr">
        <is>
          <t>VÄRMLANDS LÄN</t>
        </is>
      </c>
      <c r="G77" t="inlineStr">
        <is>
          <t>STORFORS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45468</v>
      </c>
      <c r="E78" s="1" t="n">
        <v>46296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45229</v>
      </c>
      <c r="E79" s="1" t="n">
        <v>46296</v>
      </c>
      <c r="F79" t="inlineStr">
        <is>
          <t>VÄRMLANDS LÄN</t>
        </is>
      </c>
      <c r="G79" t="inlineStr">
        <is>
          <t>STORFORS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46296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46296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29002-2023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45104</v>
      </c>
      <c r="E82" s="1" t="n">
        <v>46296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46296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46296</v>
      </c>
      <c r="F84" t="inlineStr">
        <is>
          <t>VÄRMLANDS LÄN</t>
        </is>
      </c>
      <c r="G84" t="inlineStr">
        <is>
          <t>STORFORS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46296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46296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45588</v>
      </c>
      <c r="E87" s="1" t="n">
        <v>46296</v>
      </c>
      <c r="F87" t="inlineStr">
        <is>
          <t>VÄRMLANDS LÄN</t>
        </is>
      </c>
      <c r="G87" t="inlineStr">
        <is>
          <t>STORFORS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46296</v>
      </c>
      <c r="F88" t="inlineStr">
        <is>
          <t>VÄRMLANDS LÄN</t>
        </is>
      </c>
      <c r="G88" t="inlineStr">
        <is>
          <t>STORFORS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46296</v>
      </c>
      <c r="F89" t="inlineStr">
        <is>
          <t>VÄRMLANDS LÄN</t>
        </is>
      </c>
      <c r="G89" t="inlineStr">
        <is>
          <t>STORFORS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46296</v>
      </c>
      <c r="F90" t="inlineStr">
        <is>
          <t>VÄRMLANDS LÄN</t>
        </is>
      </c>
      <c r="G90" t="inlineStr">
        <is>
          <t>STORFORS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46296</v>
      </c>
      <c r="F91" t="inlineStr">
        <is>
          <t>VÄRMLANDS LÄN</t>
        </is>
      </c>
      <c r="G91" t="inlineStr">
        <is>
          <t>STORFORS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45961</v>
      </c>
      <c r="E92" s="1" t="n">
        <v>46296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46296</v>
      </c>
      <c r="F93" t="inlineStr">
        <is>
          <t>VÄRMLANDS LÄN</t>
        </is>
      </c>
      <c r="G93" t="inlineStr">
        <is>
          <t>STORFORS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45968</v>
      </c>
      <c r="E94" s="1" t="n">
        <v>46296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45972</v>
      </c>
      <c r="E95" s="1" t="n">
        <v>46296</v>
      </c>
      <c r="F95" t="inlineStr">
        <is>
          <t>VÄRMLANDS LÄN</t>
        </is>
      </c>
      <c r="G95" t="inlineStr">
        <is>
          <t>STORFORS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46296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45995</v>
      </c>
      <c r="E97" s="1" t="n">
        <v>46296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46296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46296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46296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46296</v>
      </c>
      <c r="F101" t="inlineStr">
        <is>
          <t>VÄRMLANDS LÄN</t>
        </is>
      </c>
      <c r="G101" t="inlineStr">
        <is>
          <t>STORFORS</t>
        </is>
      </c>
      <c r="H101" t="inlineStr">
        <is>
          <t>Naturvårdsverket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46296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9.9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46296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46296</v>
      </c>
      <c r="F104" t="inlineStr">
        <is>
          <t>VÄRMLANDS LÄN</t>
        </is>
      </c>
      <c r="G104" t="inlineStr">
        <is>
          <t>STORFORS</t>
        </is>
      </c>
      <c r="H104" t="inlineStr">
        <is>
          <t>Naturvårdsverket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46296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46296</v>
      </c>
      <c r="F106" t="inlineStr">
        <is>
          <t>VÄRMLANDS LÄN</t>
        </is>
      </c>
      <c r="G106" t="inlineStr">
        <is>
          <t>STORFORS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46296</v>
      </c>
      <c r="F107" t="inlineStr">
        <is>
          <t>VÄRMLANDS LÄN</t>
        </is>
      </c>
      <c r="G107" t="inlineStr">
        <is>
          <t>STORFORS</t>
        </is>
      </c>
      <c r="I107" t="n">
        <v>10.8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7028-2026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46057</v>
      </c>
      <c r="E108" s="1" t="n">
        <v>46296</v>
      </c>
      <c r="F108" t="inlineStr">
        <is>
          <t>VÄRMLANDS LÄN</t>
        </is>
      </c>
      <c r="G108" t="inlineStr">
        <is>
          <t>STORFORS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46296</v>
      </c>
      <c r="F109" t="inlineStr">
        <is>
          <t>VÄRMLANDS LÄN</t>
        </is>
      </c>
      <c r="G109" t="inlineStr">
        <is>
          <t>STORFORS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46296</v>
      </c>
      <c r="F110" t="inlineStr">
        <is>
          <t>VÄRMLANDS LÄN</t>
        </is>
      </c>
      <c r="G110" t="inlineStr">
        <is>
          <t>STORFORS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46296</v>
      </c>
      <c r="F111" t="inlineStr">
        <is>
          <t>VÄRMLANDS LÄN</t>
        </is>
      </c>
      <c r="G111" t="inlineStr">
        <is>
          <t>STORFORS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13185-2026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46296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46098</v>
      </c>
      <c r="E113" s="1" t="n">
        <v>46296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46296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46296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46296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14.1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46296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52834-2023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46296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46296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20311-2026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46139</v>
      </c>
      <c r="E120" s="1" t="n">
        <v>46296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46140</v>
      </c>
      <c r="E121" s="1" t="n">
        <v>46296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16.1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46296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46296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46296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46296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46296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46296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21035-2026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46296</v>
      </c>
      <c r="F128" t="inlineStr">
        <is>
          <t>VÄRMLANDS LÄN</t>
        </is>
      </c>
      <c r="G128" t="inlineStr">
        <is>
          <t>STORFORS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61586-2025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46002</v>
      </c>
      <c r="E129" s="1" t="n">
        <v>46296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46296</v>
      </c>
      <c r="F130" t="inlineStr">
        <is>
          <t>VÄRMLANDS LÄN</t>
        </is>
      </c>
      <c r="G130" t="inlineStr">
        <is>
          <t>STORFORS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46296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46296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46170</v>
      </c>
      <c r="E133" s="1" t="n">
        <v>46296</v>
      </c>
      <c r="F133" t="inlineStr">
        <is>
          <t>VÄRMLANDS LÄN</t>
        </is>
      </c>
      <c r="G133" t="inlineStr">
        <is>
          <t>STORFORS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46296</v>
      </c>
      <c r="F134" t="inlineStr">
        <is>
          <t>VÄRMLANDS LÄN</t>
        </is>
      </c>
      <c r="G134" t="inlineStr">
        <is>
          <t>STORFORS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46296</v>
      </c>
      <c r="F135" t="inlineStr">
        <is>
          <t>VÄRMLANDS LÄN</t>
        </is>
      </c>
      <c r="G135" t="inlineStr">
        <is>
          <t>STORFORS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28148-2026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46296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23.6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46196</v>
      </c>
      <c r="E137" s="1" t="n">
        <v>46296</v>
      </c>
      <c r="F137" t="inlineStr">
        <is>
          <t>VÄRMLANDS LÄN</t>
        </is>
      </c>
      <c r="G137" t="inlineStr">
        <is>
          <t>STORFORS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46203</v>
      </c>
      <c r="E138" s="1" t="n">
        <v>46296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46203</v>
      </c>
      <c r="E139" s="1" t="n">
        <v>46296</v>
      </c>
      <c r="F139" t="inlineStr">
        <is>
          <t>VÄRMLANDS LÄN</t>
        </is>
      </c>
      <c r="G139" t="inlineStr">
        <is>
          <t>STORFORS</t>
        </is>
      </c>
      <c r="H139" t="inlineStr">
        <is>
          <t>Naturvårdsverket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30425-2026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46209</v>
      </c>
      <c r="E140" s="1" t="n">
        <v>46296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46296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28979-2026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46199</v>
      </c>
      <c r="E142" s="1" t="n">
        <v>46296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46261</v>
      </c>
      <c r="E143" s="1" t="n">
        <v>46296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46220</v>
      </c>
      <c r="E144" s="1" t="n">
        <v>46296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46296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35672-2026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46265</v>
      </c>
      <c r="E146" s="1" t="n">
        <v>46296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46296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46296</v>
      </c>
      <c r="F148" t="inlineStr">
        <is>
          <t>VÄRMLANDS LÄN</t>
        </is>
      </c>
      <c r="G148" t="inlineStr">
        <is>
          <t>STORFORS</t>
        </is>
      </c>
      <c r="H148" t="inlineStr">
        <is>
          <t>Kyrkan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46227</v>
      </c>
      <c r="E149" s="1" t="n">
        <v>46296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46296</v>
      </c>
      <c r="F150" t="inlineStr">
        <is>
          <t>VÄRMLANDS LÄN</t>
        </is>
      </c>
      <c r="G150" t="inlineStr">
        <is>
          <t>STORFORS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46281</v>
      </c>
      <c r="E151" s="1" t="n">
        <v>46296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46296</v>
      </c>
      <c r="F152" t="inlineStr">
        <is>
          <t>VÄRMLANDS LÄN</t>
        </is>
      </c>
      <c r="G152" t="inlineStr">
        <is>
          <t>STORFORS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46289</v>
      </c>
      <c r="E153" s="1" t="n">
        <v>46296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34718-2026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46258</v>
      </c>
      <c r="E154" s="1" t="n">
        <v>46296</v>
      </c>
      <c r="F154" t="inlineStr">
        <is>
          <t>VÄRMLANDS LÄN</t>
        </is>
      </c>
      <c r="G154" t="inlineStr">
        <is>
          <t>STORFORS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46280</v>
      </c>
      <c r="E155" s="1" t="n">
        <v>46296</v>
      </c>
      <c r="F155" t="inlineStr">
        <is>
          <t>VÄRMLANDS LÄN</t>
        </is>
      </c>
      <c r="G155" t="inlineStr">
        <is>
          <t>STORFORS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46296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46296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46290</v>
      </c>
      <c r="E158" s="1" t="n">
        <v>46296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46293</v>
      </c>
      <c r="E159" s="1" t="n">
        <v>46296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10.6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46296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46296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46296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46296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46296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46296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2026-10-01T02:00:36Z</dcterms:created>
  <dcterms:modified xmlns:dcterms="http://purl.org/dc/terms/" xmlns:xsi="http://www.w3.org/2001/XMLSchema-instance" xsi:type="dcterms:W3CDTF">2026-10-01T02:00:36Z</dcterms:modified>
</cp:coreProperties>
</file>