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56303-2025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45974</v>
      </c>
      <c r="E2" s="1" t="n">
        <v>46216</v>
      </c>
      <c r="F2" t="inlineStr">
        <is>
          <t>VÄRMLANDS LÄN</t>
        </is>
      </c>
      <c r="G2" t="inlineStr">
        <is>
          <t>STORFORS</t>
        </is>
      </c>
      <c r="H2" t="inlineStr">
        <is>
          <t>Bergvik skog väst AB</t>
        </is>
      </c>
      <c r="I2" t="n">
        <v>10.8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29</v>
      </c>
      <c r="U2" s="2" t="inlineStr">
        <is>
          <t>Dofttaggsvamp
Dropptaggsvamp
Tretåig hackspett
Mörk husmossa
Vedticka
Spillkråka
Tjäder
Orre</t>
        </is>
      </c>
      <c r="V2">
        <f>HYPERLINK("https://klasma.github.io/Logging_1760/artfynd/A 56303-2025 artfynd.xlsx", "A 56303-2025")</f>
        <v/>
      </c>
      <c r="W2">
        <f>HYPERLINK("https://klasma.github.io/Logging_1760/kartor/A 56303-2025 karta.png", "A 56303-2025")</f>
        <v/>
      </c>
      <c r="Y2">
        <f>HYPERLINK("https://klasma.github.io/Logging_1760/klagomål/A 56303-2025 FSC-klagomål.docx", "A 56303-2025")</f>
        <v/>
      </c>
      <c r="Z2">
        <f>HYPERLINK("https://klasma.github.io/Logging_1760/klagomålsmail/A 56303-2025 FSC-klagomål mail.docx", "A 56303-2025")</f>
        <v/>
      </c>
      <c r="AA2">
        <f>HYPERLINK("https://klasma.github.io/Logging_1760/tillsyn/A 56303-2025 tillsynsbegäran.docx", "A 56303-2025")</f>
        <v/>
      </c>
      <c r="AB2">
        <f>HYPERLINK("https://klasma.github.io/Logging_1760/tillsynsmail/A 56303-2025 tillsynsbegäran mail.docx", "A 56303-2025")</f>
        <v/>
      </c>
      <c r="AC2">
        <f>HYPERLINK("https://klasma.github.io/Logging_1760/fåglar/A 56303-2025 prioriterade fågelarter.docx", "A 56303-2025")</f>
        <v/>
      </c>
    </row>
    <row r="3" ht="15" customHeight="1">
      <c r="A3" t="inlineStr">
        <is>
          <t>A 51171-2022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44868</v>
      </c>
      <c r="E3" s="1" t="n">
        <v>46216</v>
      </c>
      <c r="F3" t="inlineStr">
        <is>
          <t>VÄRMLANDS LÄN</t>
        </is>
      </c>
      <c r="G3" t="inlineStr">
        <is>
          <t>STORFORS</t>
        </is>
      </c>
      <c r="H3" t="inlineStr">
        <is>
          <t>Kyrkan</t>
        </is>
      </c>
      <c r="I3" t="n">
        <v>0.6</v>
      </c>
      <c r="J3" t="n">
        <v>0</v>
      </c>
      <c r="K3" t="n">
        <v>0</v>
      </c>
      <c r="L3" t="n">
        <v>0</v>
      </c>
      <c r="M3" t="n">
        <v>2</v>
      </c>
      <c r="N3" t="n">
        <v>0</v>
      </c>
      <c r="O3" t="n">
        <v>0</v>
      </c>
      <c r="P3" t="n">
        <v>0</v>
      </c>
      <c r="Q3" t="n">
        <v>2</v>
      </c>
      <c r="R3" t="n">
        <v>2</v>
      </c>
      <c r="S3" t="n">
        <v>2</v>
      </c>
      <c r="T3" t="n">
        <v>2</v>
      </c>
      <c r="U3" s="2" t="inlineStr">
        <is>
          <t>Brunfläckig pärlemorfjäril
Ängsblåvinge</t>
        </is>
      </c>
      <c r="V3">
        <f>HYPERLINK("https://klasma.github.io/Logging_1760/artfynd/A 51171-2022 artfynd.xlsx", "A 51171-2022")</f>
        <v/>
      </c>
      <c r="W3">
        <f>HYPERLINK("https://klasma.github.io/Logging_1760/kartor/A 51171-2022 karta.png", "A 51171-2022")</f>
        <v/>
      </c>
      <c r="Y3">
        <f>HYPERLINK("https://klasma.github.io/Logging_1760/klagomål/A 51171-2022 FSC-klagomål.docx", "A 51171-2022")</f>
        <v/>
      </c>
      <c r="Z3">
        <f>HYPERLINK("https://klasma.github.io/Logging_1760/klagomålsmail/A 51171-2022 FSC-klagomål mail.docx", "A 51171-2022")</f>
        <v/>
      </c>
      <c r="AA3">
        <f>HYPERLINK("https://klasma.github.io/Logging_1760/tillsyn/A 51171-2022 tillsynsbegäran.docx", "A 51171-2022")</f>
        <v/>
      </c>
      <c r="AB3">
        <f>HYPERLINK("https://klasma.github.io/Logging_1760/tillsynsmail/A 51171-2022 tillsynsbegäran mail.docx", "A 51171-2022")</f>
        <v/>
      </c>
    </row>
    <row r="4" ht="15" customHeight="1">
      <c r="A4" t="inlineStr">
        <is>
          <t>A 43407-2022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44834</v>
      </c>
      <c r="E4" s="1" t="n">
        <v>46216</v>
      </c>
      <c r="F4" t="inlineStr">
        <is>
          <t>VÄRMLANDS LÄN</t>
        </is>
      </c>
      <c r="G4" t="inlineStr">
        <is>
          <t>STORFORS</t>
        </is>
      </c>
      <c r="H4" t="inlineStr">
        <is>
          <t>Bergvik skog väst AB</t>
        </is>
      </c>
      <c r="I4" t="n">
        <v>7.1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s="2" t="inlineStr">
        <is>
          <t>Orre</t>
        </is>
      </c>
      <c r="V4">
        <f>HYPERLINK("https://klasma.github.io/Logging_1760/artfynd/A 43407-2022 artfynd.xlsx", "A 43407-2022")</f>
        <v/>
      </c>
      <c r="W4">
        <f>HYPERLINK("https://klasma.github.io/Logging_1760/kartor/A 43407-2022 karta.png", "A 43407-2022")</f>
        <v/>
      </c>
      <c r="Y4">
        <f>HYPERLINK("https://klasma.github.io/Logging_1760/klagomål/A 43407-2022 FSC-klagomål.docx", "A 43407-2022")</f>
        <v/>
      </c>
      <c r="Z4">
        <f>HYPERLINK("https://klasma.github.io/Logging_1760/klagomålsmail/A 43407-2022 FSC-klagomål mail.docx", "A 43407-2022")</f>
        <v/>
      </c>
      <c r="AA4">
        <f>HYPERLINK("https://klasma.github.io/Logging_1760/tillsyn/A 43407-2022 tillsynsbegäran.docx", "A 43407-2022")</f>
        <v/>
      </c>
      <c r="AB4">
        <f>HYPERLINK("https://klasma.github.io/Logging_1760/tillsynsmail/A 43407-2022 tillsynsbegäran mail.docx", "A 43407-2022")</f>
        <v/>
      </c>
      <c r="AC4">
        <f>HYPERLINK("https://klasma.github.io/Logging_1760/fåglar/A 43407-2022 prioriterade fågelarter.docx", "A 43407-2022")</f>
        <v/>
      </c>
    </row>
    <row r="5" ht="15" customHeight="1">
      <c r="A5" t="inlineStr">
        <is>
          <t>A 57209-2022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44895</v>
      </c>
      <c r="E5" s="1" t="n">
        <v>46216</v>
      </c>
      <c r="F5" t="inlineStr">
        <is>
          <t>VÄRMLANDS LÄN</t>
        </is>
      </c>
      <c r="G5" t="inlineStr">
        <is>
          <t>STORFORS</t>
        </is>
      </c>
      <c r="H5" t="inlineStr">
        <is>
          <t>Kyrkan</t>
        </is>
      </c>
      <c r="I5" t="n">
        <v>6.3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s="2" t="inlineStr">
        <is>
          <t>Knölspindel</t>
        </is>
      </c>
      <c r="V5">
        <f>HYPERLINK("https://klasma.github.io/Logging_1760/artfynd/A 57209-2022 artfynd.xlsx", "A 57209-2022")</f>
        <v/>
      </c>
      <c r="W5">
        <f>HYPERLINK("https://klasma.github.io/Logging_1760/kartor/A 57209-2022 karta.png", "A 57209-2022")</f>
        <v/>
      </c>
      <c r="Y5">
        <f>HYPERLINK("https://klasma.github.io/Logging_1760/klagomål/A 57209-2022 FSC-klagomål.docx", "A 57209-2022")</f>
        <v/>
      </c>
      <c r="Z5">
        <f>HYPERLINK("https://klasma.github.io/Logging_1760/klagomålsmail/A 57209-2022 FSC-klagomål mail.docx", "A 57209-2022")</f>
        <v/>
      </c>
      <c r="AA5">
        <f>HYPERLINK("https://klasma.github.io/Logging_1760/tillsyn/A 57209-2022 tillsynsbegäran.docx", "A 57209-2022")</f>
        <v/>
      </c>
      <c r="AB5">
        <f>HYPERLINK("https://klasma.github.io/Logging_1760/tillsynsmail/A 57209-2022 tillsynsbegäran mail.docx", "A 57209-2022")</f>
        <v/>
      </c>
    </row>
    <row r="6" ht="15" customHeight="1">
      <c r="A6" t="inlineStr">
        <is>
          <t>A 46376-2023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45197</v>
      </c>
      <c r="E6" s="1" t="n">
        <v>46216</v>
      </c>
      <c r="F6" t="inlineStr">
        <is>
          <t>VÄRMLANDS LÄN</t>
        </is>
      </c>
      <c r="G6" t="inlineStr">
        <is>
          <t>STORFORS</t>
        </is>
      </c>
      <c r="I6" t="n">
        <v>0.7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s="2" t="inlineStr">
        <is>
          <t>Igelkott</t>
        </is>
      </c>
      <c r="V6">
        <f>HYPERLINK("https://klasma.github.io/Logging_1760/artfynd/A 46376-2023 artfynd.xlsx", "A 46376-2023")</f>
        <v/>
      </c>
      <c r="W6">
        <f>HYPERLINK("https://klasma.github.io/Logging_1760/kartor/A 46376-2023 karta.png", "A 46376-2023")</f>
        <v/>
      </c>
      <c r="Y6">
        <f>HYPERLINK("https://klasma.github.io/Logging_1760/klagomål/A 46376-2023 FSC-klagomål.docx", "A 46376-2023")</f>
        <v/>
      </c>
      <c r="Z6">
        <f>HYPERLINK("https://klasma.github.io/Logging_1760/klagomålsmail/A 46376-2023 FSC-klagomål mail.docx", "A 46376-2023")</f>
        <v/>
      </c>
      <c r="AA6">
        <f>HYPERLINK("https://klasma.github.io/Logging_1760/tillsyn/A 46376-2023 tillsynsbegäran.docx", "A 46376-2023")</f>
        <v/>
      </c>
      <c r="AB6">
        <f>HYPERLINK("https://klasma.github.io/Logging_1760/tillsynsmail/A 46376-2023 tillsynsbegäran mail.docx", "A 46376-2023")</f>
        <v/>
      </c>
    </row>
    <row r="7" ht="15" customHeight="1">
      <c r="A7" t="inlineStr">
        <is>
          <t>A 21111-2025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45777</v>
      </c>
      <c r="E7" s="1" t="n">
        <v>46216</v>
      </c>
      <c r="F7" t="inlineStr">
        <is>
          <t>VÄRMLANDS LÄN</t>
        </is>
      </c>
      <c r="G7" t="inlineStr">
        <is>
          <t>STORFORS</t>
        </is>
      </c>
      <c r="I7" t="n">
        <v>1.9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s="2" t="inlineStr">
        <is>
          <t>Korallblylav</t>
        </is>
      </c>
      <c r="V7">
        <f>HYPERLINK("https://klasma.github.io/Logging_1760/artfynd/A 21111-2025 artfynd.xlsx", "A 21111-2025")</f>
        <v/>
      </c>
      <c r="W7">
        <f>HYPERLINK("https://klasma.github.io/Logging_1760/kartor/A 21111-2025 karta.png", "A 21111-2025")</f>
        <v/>
      </c>
      <c r="Y7">
        <f>HYPERLINK("https://klasma.github.io/Logging_1760/klagomål/A 21111-2025 FSC-klagomål.docx", "A 21111-2025")</f>
        <v/>
      </c>
      <c r="Z7">
        <f>HYPERLINK("https://klasma.github.io/Logging_1760/klagomålsmail/A 21111-2025 FSC-klagomål mail.docx", "A 21111-2025")</f>
        <v/>
      </c>
      <c r="AA7">
        <f>HYPERLINK("https://klasma.github.io/Logging_1760/tillsyn/A 21111-2025 tillsynsbegäran.docx", "A 21111-2025")</f>
        <v/>
      </c>
      <c r="AB7">
        <f>HYPERLINK("https://klasma.github.io/Logging_1760/tillsynsmail/A 21111-2025 tillsynsbegäran mail.docx", "A 21111-2025")</f>
        <v/>
      </c>
    </row>
    <row r="8" ht="15" customHeight="1">
      <c r="A8" t="inlineStr">
        <is>
          <t>A 35089-2022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44797</v>
      </c>
      <c r="E8" s="1" t="n">
        <v>46216</v>
      </c>
      <c r="F8" t="inlineStr">
        <is>
          <t>VÄRMLANDS LÄN</t>
        </is>
      </c>
      <c r="G8" t="inlineStr">
        <is>
          <t>STORFORS</t>
        </is>
      </c>
      <c r="I8" t="n">
        <v>1.5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59084-2021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44490</v>
      </c>
      <c r="E9" s="1" t="n">
        <v>46216</v>
      </c>
      <c r="F9" t="inlineStr">
        <is>
          <t>VÄRMLANDS LÄN</t>
        </is>
      </c>
      <c r="G9" t="inlineStr">
        <is>
          <t>STORFORS</t>
        </is>
      </c>
      <c r="H9" t="inlineStr">
        <is>
          <t>Naturvårdsverket</t>
        </is>
      </c>
      <c r="I9" t="n">
        <v>2.5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35084-2022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44797</v>
      </c>
      <c r="E10" s="1" t="n">
        <v>46216</v>
      </c>
      <c r="F10" t="inlineStr">
        <is>
          <t>VÄRMLANDS LÄN</t>
        </is>
      </c>
      <c r="G10" t="inlineStr">
        <is>
          <t>STORFORS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33307-2022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44788</v>
      </c>
      <c r="E11" s="1" t="n">
        <v>46216</v>
      </c>
      <c r="F11" t="inlineStr">
        <is>
          <t>VÄRMLANDS LÄN</t>
        </is>
      </c>
      <c r="G11" t="inlineStr">
        <is>
          <t>STORFORS</t>
        </is>
      </c>
      <c r="I11" t="n">
        <v>0.4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64815-2021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44512</v>
      </c>
      <c r="E12" s="1" t="n">
        <v>46216</v>
      </c>
      <c r="F12" t="inlineStr">
        <is>
          <t>VÄRMLANDS LÄN</t>
        </is>
      </c>
      <c r="G12" t="inlineStr">
        <is>
          <t>STORFORS</t>
        </is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44802-2022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44841</v>
      </c>
      <c r="E13" s="1" t="n">
        <v>46216</v>
      </c>
      <c r="F13" t="inlineStr">
        <is>
          <t>VÄRMLANDS LÄN</t>
        </is>
      </c>
      <c r="G13" t="inlineStr">
        <is>
          <t>STORFORS</t>
        </is>
      </c>
      <c r="I13" t="n">
        <v>0.5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64814-2021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46216</v>
      </c>
      <c r="F14" t="inlineStr">
        <is>
          <t>VÄRMLANDS LÄN</t>
        </is>
      </c>
      <c r="G14" t="inlineStr">
        <is>
          <t>STORFORS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57734-2021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44484</v>
      </c>
      <c r="E15" s="1" t="n">
        <v>46216</v>
      </c>
      <c r="F15" t="inlineStr">
        <is>
          <t>VÄRMLANDS LÄN</t>
        </is>
      </c>
      <c r="G15" t="inlineStr">
        <is>
          <t>STORFORS</t>
        </is>
      </c>
      <c r="H15" t="inlineStr">
        <is>
          <t>Naturvårdsverket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44783-2022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44841</v>
      </c>
      <c r="E16" s="1" t="n">
        <v>46216</v>
      </c>
      <c r="F16" t="inlineStr">
        <is>
          <t>VÄRMLANDS LÄN</t>
        </is>
      </c>
      <c r="G16" t="inlineStr">
        <is>
          <t>STORFORS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41867-2021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44426</v>
      </c>
      <c r="E17" s="1" t="n">
        <v>46216</v>
      </c>
      <c r="F17" t="inlineStr">
        <is>
          <t>VÄRMLANDS LÄN</t>
        </is>
      </c>
      <c r="G17" t="inlineStr">
        <is>
          <t>STORFORS</t>
        </is>
      </c>
      <c r="I17" t="n">
        <v>2.2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22935-2023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45072</v>
      </c>
      <c r="E18" s="1" t="n">
        <v>46216</v>
      </c>
      <c r="F18" t="inlineStr">
        <is>
          <t>VÄRMLANDS LÄN</t>
        </is>
      </c>
      <c r="G18" t="inlineStr">
        <is>
          <t>STORFORS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70761-2021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44536</v>
      </c>
      <c r="E19" s="1" t="n">
        <v>46216</v>
      </c>
      <c r="F19" t="inlineStr">
        <is>
          <t>VÄRMLANDS LÄN</t>
        </is>
      </c>
      <c r="G19" t="inlineStr">
        <is>
          <t>STORFORS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47728-2023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46216</v>
      </c>
      <c r="F20" t="inlineStr">
        <is>
          <t>VÄRMLANDS LÄN</t>
        </is>
      </c>
      <c r="G20" t="inlineStr">
        <is>
          <t>STORFORS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1431-2025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45669</v>
      </c>
      <c r="E21" s="1" t="n">
        <v>46216</v>
      </c>
      <c r="F21" t="inlineStr">
        <is>
          <t>VÄRMLANDS LÄN</t>
        </is>
      </c>
      <c r="G21" t="inlineStr">
        <is>
          <t>STORFORS</t>
        </is>
      </c>
      <c r="I21" t="n">
        <v>3.2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4744-2025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45688</v>
      </c>
      <c r="E22" s="1" t="n">
        <v>46216</v>
      </c>
      <c r="F22" t="inlineStr">
        <is>
          <t>VÄRMLANDS LÄN</t>
        </is>
      </c>
      <c r="G22" t="inlineStr">
        <is>
          <t>STORFORS</t>
        </is>
      </c>
      <c r="I22" t="n">
        <v>2.3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38176-2024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45545</v>
      </c>
      <c r="E23" s="1" t="n">
        <v>46216</v>
      </c>
      <c r="F23" t="inlineStr">
        <is>
          <t>VÄRMLANDS LÄN</t>
        </is>
      </c>
      <c r="G23" t="inlineStr">
        <is>
          <t>STORFORS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24820-2025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45799</v>
      </c>
      <c r="E24" s="1" t="n">
        <v>46216</v>
      </c>
      <c r="F24" t="inlineStr">
        <is>
          <t>VÄRMLANDS LÄN</t>
        </is>
      </c>
      <c r="G24" t="inlineStr">
        <is>
          <t>STORFORS</t>
        </is>
      </c>
      <c r="H24" t="inlineStr">
        <is>
          <t>Bergvik skog väst AB</t>
        </is>
      </c>
      <c r="I24" t="n">
        <v>6.6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4494-2025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45686</v>
      </c>
      <c r="E25" s="1" t="n">
        <v>46216</v>
      </c>
      <c r="F25" t="inlineStr">
        <is>
          <t>VÄRMLANDS LÄN</t>
        </is>
      </c>
      <c r="G25" t="inlineStr">
        <is>
          <t>STORFORS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54190-2023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45232</v>
      </c>
      <c r="E26" s="1" t="n">
        <v>46216</v>
      </c>
      <c r="F26" t="inlineStr">
        <is>
          <t>VÄRMLANDS LÄN</t>
        </is>
      </c>
      <c r="G26" t="inlineStr">
        <is>
          <t>STORFORS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19324-2022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44692</v>
      </c>
      <c r="E27" s="1" t="n">
        <v>46216</v>
      </c>
      <c r="F27" t="inlineStr">
        <is>
          <t>VÄRMLANDS LÄN</t>
        </is>
      </c>
      <c r="G27" t="inlineStr">
        <is>
          <t>STORFORS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39623-2025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45890</v>
      </c>
      <c r="E28" s="1" t="n">
        <v>46216</v>
      </c>
      <c r="F28" t="inlineStr">
        <is>
          <t>VÄRMLANDS LÄN</t>
        </is>
      </c>
      <c r="G28" t="inlineStr">
        <is>
          <t>STORFORS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41479-2024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45560</v>
      </c>
      <c r="E29" s="1" t="n">
        <v>46216</v>
      </c>
      <c r="F29" t="inlineStr">
        <is>
          <t>VÄRMLANDS LÄN</t>
        </is>
      </c>
      <c r="G29" t="inlineStr">
        <is>
          <t>STORFORS</t>
        </is>
      </c>
      <c r="H29" t="inlineStr">
        <is>
          <t>Naturvårdsverket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28255-2025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45818</v>
      </c>
      <c r="E30" s="1" t="n">
        <v>46216</v>
      </c>
      <c r="F30" t="inlineStr">
        <is>
          <t>VÄRMLANDS LÄN</t>
        </is>
      </c>
      <c r="G30" t="inlineStr">
        <is>
          <t>STORFORS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29002-2023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45104</v>
      </c>
      <c r="E31" s="1" t="n">
        <v>46216</v>
      </c>
      <c r="F31" t="inlineStr">
        <is>
          <t>VÄRMLANDS LÄN</t>
        </is>
      </c>
      <c r="G31" t="inlineStr">
        <is>
          <t>STORFORS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15152-2022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44658</v>
      </c>
      <c r="E32" s="1" t="n">
        <v>46216</v>
      </c>
      <c r="F32" t="inlineStr">
        <is>
          <t>VÄRMLANDS LÄN</t>
        </is>
      </c>
      <c r="G32" t="inlineStr">
        <is>
          <t>STORFORS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47732-2024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45588</v>
      </c>
      <c r="E33" s="1" t="n">
        <v>46216</v>
      </c>
      <c r="F33" t="inlineStr">
        <is>
          <t>VÄRMLANDS LÄN</t>
        </is>
      </c>
      <c r="G33" t="inlineStr">
        <is>
          <t>STORFORS</t>
        </is>
      </c>
      <c r="I33" t="n">
        <v>3.3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6856-2025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45700</v>
      </c>
      <c r="E34" s="1" t="n">
        <v>46216</v>
      </c>
      <c r="F34" t="inlineStr">
        <is>
          <t>VÄRMLANDS LÄN</t>
        </is>
      </c>
      <c r="G34" t="inlineStr">
        <is>
          <t>STORFORS</t>
        </is>
      </c>
      <c r="H34" t="inlineStr">
        <is>
          <t>Kyrkan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26189-2024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45468</v>
      </c>
      <c r="E35" s="1" t="n">
        <v>46216</v>
      </c>
      <c r="F35" t="inlineStr">
        <is>
          <t>VÄRMLANDS LÄN</t>
        </is>
      </c>
      <c r="G35" t="inlineStr">
        <is>
          <t>STORFORS</t>
        </is>
      </c>
      <c r="H35" t="inlineStr">
        <is>
          <t>Bergvik skog väst AB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36697-2023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45153</v>
      </c>
      <c r="E36" s="1" t="n">
        <v>46216</v>
      </c>
      <c r="F36" t="inlineStr">
        <is>
          <t>VÄRMLANDS LÄN</t>
        </is>
      </c>
      <c r="G36" t="inlineStr">
        <is>
          <t>STORFORS</t>
        </is>
      </c>
      <c r="H36" t="inlineStr">
        <is>
          <t>Kyrkan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46612-2025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45926</v>
      </c>
      <c r="E37" s="1" t="n">
        <v>46216</v>
      </c>
      <c r="F37" t="inlineStr">
        <is>
          <t>VÄRMLANDS LÄN</t>
        </is>
      </c>
      <c r="G37" t="inlineStr">
        <is>
          <t>STORFORS</t>
        </is>
      </c>
      <c r="H37" t="inlineStr">
        <is>
          <t>Bergvik skog väst AB</t>
        </is>
      </c>
      <c r="I37" t="n">
        <v>11.1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8613-2024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45355</v>
      </c>
      <c r="E38" s="1" t="n">
        <v>46216</v>
      </c>
      <c r="F38" t="inlineStr">
        <is>
          <t>VÄRMLANDS LÄN</t>
        </is>
      </c>
      <c r="G38" t="inlineStr">
        <is>
          <t>STORFORS</t>
        </is>
      </c>
      <c r="H38" t="inlineStr">
        <is>
          <t>Kyrkan</t>
        </is>
      </c>
      <c r="I38" t="n">
        <v>5.5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15442-2024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45401</v>
      </c>
      <c r="E39" s="1" t="n">
        <v>46216</v>
      </c>
      <c r="F39" t="inlineStr">
        <is>
          <t>VÄRMLANDS LÄN</t>
        </is>
      </c>
      <c r="G39" t="inlineStr">
        <is>
          <t>STORFORS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20725-2023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45058</v>
      </c>
      <c r="E40" s="1" t="n">
        <v>46216</v>
      </c>
      <c r="F40" t="inlineStr">
        <is>
          <t>VÄRMLANDS LÄN</t>
        </is>
      </c>
      <c r="G40" t="inlineStr">
        <is>
          <t>STORFORS</t>
        </is>
      </c>
      <c r="H40" t="inlineStr">
        <is>
          <t>Bergvik skog väst AB</t>
        </is>
      </c>
      <c r="I40" t="n">
        <v>14.9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33273-2025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45840</v>
      </c>
      <c r="E41" s="1" t="n">
        <v>46216</v>
      </c>
      <c r="F41" t="inlineStr">
        <is>
          <t>VÄRMLANDS LÄN</t>
        </is>
      </c>
      <c r="G41" t="inlineStr">
        <is>
          <t>STORFORS</t>
        </is>
      </c>
      <c r="H41" t="inlineStr">
        <is>
          <t>Bergvik skog väst AB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33143-2025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45840</v>
      </c>
      <c r="E42" s="1" t="n">
        <v>46216</v>
      </c>
      <c r="F42" t="inlineStr">
        <is>
          <t>VÄRMLANDS LÄN</t>
        </is>
      </c>
      <c r="G42" t="inlineStr">
        <is>
          <t>STORFORS</t>
        </is>
      </c>
      <c r="H42" t="inlineStr">
        <is>
          <t>Bergvik skog väst AB</t>
        </is>
      </c>
      <c r="I42" t="n">
        <v>4.2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37145-2025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45875</v>
      </c>
      <c r="E43" s="1" t="n">
        <v>46216</v>
      </c>
      <c r="F43" t="inlineStr">
        <is>
          <t>VÄRMLANDS LÄN</t>
        </is>
      </c>
      <c r="G43" t="inlineStr">
        <is>
          <t>STORFORS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13795-2023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45007</v>
      </c>
      <c r="E44" s="1" t="n">
        <v>46216</v>
      </c>
      <c r="F44" t="inlineStr">
        <is>
          <t>VÄRMLANDS LÄN</t>
        </is>
      </c>
      <c r="G44" t="inlineStr">
        <is>
          <t>STORFORS</t>
        </is>
      </c>
      <c r="H44" t="inlineStr">
        <is>
          <t>Kyrkan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37716-2025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45881</v>
      </c>
      <c r="E45" s="1" t="n">
        <v>46216</v>
      </c>
      <c r="F45" t="inlineStr">
        <is>
          <t>VÄRMLANDS LÄN</t>
        </is>
      </c>
      <c r="G45" t="inlineStr">
        <is>
          <t>STORFORS</t>
        </is>
      </c>
      <c r="I45" t="n">
        <v>4.5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26201-2024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45468</v>
      </c>
      <c r="E46" s="1" t="n">
        <v>46216</v>
      </c>
      <c r="F46" t="inlineStr">
        <is>
          <t>VÄRMLANDS LÄN</t>
        </is>
      </c>
      <c r="G46" t="inlineStr">
        <is>
          <t>STORFORS</t>
        </is>
      </c>
      <c r="H46" t="inlineStr">
        <is>
          <t>Bergvik skog väst AB</t>
        </is>
      </c>
      <c r="I46" t="n">
        <v>25.4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3452-2025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45680</v>
      </c>
      <c r="E47" s="1" t="n">
        <v>46216</v>
      </c>
      <c r="F47" t="inlineStr">
        <is>
          <t>VÄRMLANDS LÄN</t>
        </is>
      </c>
      <c r="G47" t="inlineStr">
        <is>
          <t>STORFORS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7072-2023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44969</v>
      </c>
      <c r="E48" s="1" t="n">
        <v>46216</v>
      </c>
      <c r="F48" t="inlineStr">
        <is>
          <t>VÄRMLANDS LÄN</t>
        </is>
      </c>
      <c r="G48" t="inlineStr">
        <is>
          <t>STORFORS</t>
        </is>
      </c>
      <c r="H48" t="inlineStr">
        <is>
          <t>Bergvik skog väst AB</t>
        </is>
      </c>
      <c r="I48" t="n">
        <v>5.4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11290-2025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45726</v>
      </c>
      <c r="E49" s="1" t="n">
        <v>46216</v>
      </c>
      <c r="F49" t="inlineStr">
        <is>
          <t>VÄRMLANDS LÄN</t>
        </is>
      </c>
      <c r="G49" t="inlineStr">
        <is>
          <t>STORFORS</t>
        </is>
      </c>
      <c r="I49" t="n">
        <v>4.1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4455-2026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46045</v>
      </c>
      <c r="E50" s="1" t="n">
        <v>46216</v>
      </c>
      <c r="F50" t="inlineStr">
        <is>
          <t>VÄRMLANDS LÄN</t>
        </is>
      </c>
      <c r="G50" t="inlineStr">
        <is>
          <t>STORFORS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52905-2025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45957</v>
      </c>
      <c r="E51" s="1" t="n">
        <v>46216</v>
      </c>
      <c r="F51" t="inlineStr">
        <is>
          <t>VÄRMLANDS LÄN</t>
        </is>
      </c>
      <c r="G51" t="inlineStr">
        <is>
          <t>STORFORS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53990-2025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45961</v>
      </c>
      <c r="E52" s="1" t="n">
        <v>46216</v>
      </c>
      <c r="F52" t="inlineStr">
        <is>
          <t>VÄRMLANDS LÄN</t>
        </is>
      </c>
      <c r="G52" t="inlineStr">
        <is>
          <t>STORFORS</t>
        </is>
      </c>
      <c r="H52" t="inlineStr">
        <is>
          <t>Naturvårdsverket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13636-2024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45390</v>
      </c>
      <c r="E53" s="1" t="n">
        <v>46216</v>
      </c>
      <c r="F53" t="inlineStr">
        <is>
          <t>VÄRMLANDS LÄN</t>
        </is>
      </c>
      <c r="G53" t="inlineStr">
        <is>
          <t>STORFORS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52922-2025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45957</v>
      </c>
      <c r="E54" s="1" t="n">
        <v>46216</v>
      </c>
      <c r="F54" t="inlineStr">
        <is>
          <t>VÄRMLANDS LÄN</t>
        </is>
      </c>
      <c r="G54" t="inlineStr">
        <is>
          <t>STORFORS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4868-2026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46048</v>
      </c>
      <c r="E55" s="1" t="n">
        <v>46216</v>
      </c>
      <c r="F55" t="inlineStr">
        <is>
          <t>VÄRMLANDS LÄN</t>
        </is>
      </c>
      <c r="G55" t="inlineStr">
        <is>
          <t>STORFORS</t>
        </is>
      </c>
      <c r="I55" t="n">
        <v>10.8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39998-2023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45168</v>
      </c>
      <c r="E56" s="1" t="n">
        <v>46216</v>
      </c>
      <c r="F56" t="inlineStr">
        <is>
          <t>VÄRMLANDS LÄN</t>
        </is>
      </c>
      <c r="G56" t="inlineStr">
        <is>
          <t>STORFORS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55234-2025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45968</v>
      </c>
      <c r="E57" s="1" t="n">
        <v>46216</v>
      </c>
      <c r="F57" t="inlineStr">
        <is>
          <t>VÄRMLANDS LÄN</t>
        </is>
      </c>
      <c r="G57" t="inlineStr">
        <is>
          <t>STORFORS</t>
        </is>
      </c>
      <c r="H57" t="inlineStr">
        <is>
          <t>Bergvik skog väst AB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54738-2023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45236</v>
      </c>
      <c r="E58" s="1" t="n">
        <v>46216</v>
      </c>
      <c r="F58" t="inlineStr">
        <is>
          <t>VÄRMLANDS LÄN</t>
        </is>
      </c>
      <c r="G58" t="inlineStr">
        <is>
          <t>STORFORS</t>
        </is>
      </c>
      <c r="H58" t="inlineStr">
        <is>
          <t>Naturvårdsverket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55818-2025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45972</v>
      </c>
      <c r="E59" s="1" t="n">
        <v>46216</v>
      </c>
      <c r="F59" t="inlineStr">
        <is>
          <t>VÄRMLANDS LÄN</t>
        </is>
      </c>
      <c r="G59" t="inlineStr">
        <is>
          <t>STORFORS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56525-2025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45975</v>
      </c>
      <c r="E60" s="1" t="n">
        <v>46216</v>
      </c>
      <c r="F60" t="inlineStr">
        <is>
          <t>VÄRMLANDS LÄN</t>
        </is>
      </c>
      <c r="G60" t="inlineStr">
        <is>
          <t>STORFORS</t>
        </is>
      </c>
      <c r="H60" t="inlineStr">
        <is>
          <t>Bergvik skog väst AB</t>
        </is>
      </c>
      <c r="I60" t="n">
        <v>5.1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57981-2022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44900</v>
      </c>
      <c r="E61" s="1" t="n">
        <v>46216</v>
      </c>
      <c r="F61" t="inlineStr">
        <is>
          <t>VÄRMLANDS LÄN</t>
        </is>
      </c>
      <c r="G61" t="inlineStr">
        <is>
          <t>STORFORS</t>
        </is>
      </c>
      <c r="H61" t="inlineStr">
        <is>
          <t>Naturvårdsverket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56206-2025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45974</v>
      </c>
      <c r="E62" s="1" t="n">
        <v>46216</v>
      </c>
      <c r="F62" t="inlineStr">
        <is>
          <t>VÄRMLANDS LÄN</t>
        </is>
      </c>
      <c r="G62" t="inlineStr">
        <is>
          <t>STORFORS</t>
        </is>
      </c>
      <c r="H62" t="inlineStr">
        <is>
          <t>Bergvik skog väst AB</t>
        </is>
      </c>
      <c r="I62" t="n">
        <v>4.4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7028-2026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46216</v>
      </c>
      <c r="F63" t="inlineStr">
        <is>
          <t>VÄRMLANDS LÄN</t>
        </is>
      </c>
      <c r="G63" t="inlineStr">
        <is>
          <t>STORFORS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7427-2026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46059</v>
      </c>
      <c r="E64" s="1" t="n">
        <v>46216</v>
      </c>
      <c r="F64" t="inlineStr">
        <is>
          <t>VÄRMLANDS LÄN</t>
        </is>
      </c>
      <c r="G64" t="inlineStr">
        <is>
          <t>STORFORS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58125-2022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44900</v>
      </c>
      <c r="E65" s="1" t="n">
        <v>46216</v>
      </c>
      <c r="F65" t="inlineStr">
        <is>
          <t>VÄRMLANDS LÄN</t>
        </is>
      </c>
      <c r="G65" t="inlineStr">
        <is>
          <t>STORFORS</t>
        </is>
      </c>
      <c r="I65" t="n">
        <v>3.4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3721-2025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45681</v>
      </c>
      <c r="E66" s="1" t="n">
        <v>46216</v>
      </c>
      <c r="F66" t="inlineStr">
        <is>
          <t>VÄRMLANDS LÄN</t>
        </is>
      </c>
      <c r="G66" t="inlineStr">
        <is>
          <t>STORFORS</t>
        </is>
      </c>
      <c r="I66" t="n">
        <v>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7444-2026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46059</v>
      </c>
      <c r="E67" s="1" t="n">
        <v>46216</v>
      </c>
      <c r="F67" t="inlineStr">
        <is>
          <t>VÄRMLANDS LÄN</t>
        </is>
      </c>
      <c r="G67" t="inlineStr">
        <is>
          <t>STORFORS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7447-2026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46059</v>
      </c>
      <c r="E68" s="1" t="n">
        <v>46216</v>
      </c>
      <c r="F68" t="inlineStr">
        <is>
          <t>VÄRMLANDS LÄN</t>
        </is>
      </c>
      <c r="G68" t="inlineStr">
        <is>
          <t>STORFORS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4998-2024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45329</v>
      </c>
      <c r="E69" s="1" t="n">
        <v>46216</v>
      </c>
      <c r="F69" t="inlineStr">
        <is>
          <t>VÄRMLANDS LÄN</t>
        </is>
      </c>
      <c r="G69" t="inlineStr">
        <is>
          <t>STORFORS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60511-2025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45995</v>
      </c>
      <c r="E70" s="1" t="n">
        <v>46216</v>
      </c>
      <c r="F70" t="inlineStr">
        <is>
          <t>VÄRMLANDS LÄN</t>
        </is>
      </c>
      <c r="G70" t="inlineStr">
        <is>
          <t>STORFORS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61149-2025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46000</v>
      </c>
      <c r="E71" s="1" t="n">
        <v>46216</v>
      </c>
      <c r="F71" t="inlineStr">
        <is>
          <t>VÄRMLANDS LÄN</t>
        </is>
      </c>
      <c r="G71" t="inlineStr">
        <is>
          <t>STORFORS</t>
        </is>
      </c>
      <c r="H71" t="inlineStr">
        <is>
          <t>Naturvårdsverket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61123-2025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46000</v>
      </c>
      <c r="E72" s="1" t="n">
        <v>46216</v>
      </c>
      <c r="F72" t="inlineStr">
        <is>
          <t>VÄRMLANDS LÄN</t>
        </is>
      </c>
      <c r="G72" t="inlineStr">
        <is>
          <t>STORFORS</t>
        </is>
      </c>
      <c r="H72" t="inlineStr">
        <is>
          <t>Naturvårdsverket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28466-2022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44747</v>
      </c>
      <c r="E73" s="1" t="n">
        <v>46216</v>
      </c>
      <c r="F73" t="inlineStr">
        <is>
          <t>VÄRMLANDS LÄN</t>
        </is>
      </c>
      <c r="G73" t="inlineStr">
        <is>
          <t>STORFORS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33806-2024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45520</v>
      </c>
      <c r="E74" s="1" t="n">
        <v>46216</v>
      </c>
      <c r="F74" t="inlineStr">
        <is>
          <t>VÄRMLANDS LÄN</t>
        </is>
      </c>
      <c r="G74" t="inlineStr">
        <is>
          <t>STORFORS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47713-2024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45588</v>
      </c>
      <c r="E75" s="1" t="n">
        <v>46216</v>
      </c>
      <c r="F75" t="inlineStr">
        <is>
          <t>VÄRMLANDS LÄN</t>
        </is>
      </c>
      <c r="G75" t="inlineStr">
        <is>
          <t>STORFORS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63572-2025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46013</v>
      </c>
      <c r="E76" s="1" t="n">
        <v>46216</v>
      </c>
      <c r="F76" t="inlineStr">
        <is>
          <t>VÄRMLANDS LÄN</t>
        </is>
      </c>
      <c r="G76" t="inlineStr">
        <is>
          <t>STORFORS</t>
        </is>
      </c>
      <c r="H76" t="inlineStr">
        <is>
          <t>Kyrkan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47624-2023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45203</v>
      </c>
      <c r="E77" s="1" t="n">
        <v>46216</v>
      </c>
      <c r="F77" t="inlineStr">
        <is>
          <t>VÄRMLANDS LÄN</t>
        </is>
      </c>
      <c r="G77" t="inlineStr">
        <is>
          <t>STORFORS</t>
        </is>
      </c>
      <c r="H77" t="inlineStr">
        <is>
          <t>Kyrkan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62987-2025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46009</v>
      </c>
      <c r="E78" s="1" t="n">
        <v>46216</v>
      </c>
      <c r="F78" t="inlineStr">
        <is>
          <t>VÄRMLANDS LÄN</t>
        </is>
      </c>
      <c r="G78" t="inlineStr">
        <is>
          <t>STORFORS</t>
        </is>
      </c>
      <c r="H78" t="inlineStr">
        <is>
          <t>Naturvårdsverket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59146-2025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45988</v>
      </c>
      <c r="E79" s="1" t="n">
        <v>46216</v>
      </c>
      <c r="F79" t="inlineStr">
        <is>
          <t>VÄRMLANDS LÄN</t>
        </is>
      </c>
      <c r="G79" t="inlineStr">
        <is>
          <t>STORFORS</t>
        </is>
      </c>
      <c r="H79" t="inlineStr">
        <is>
          <t>Bergvik skog väst AB</t>
        </is>
      </c>
      <c r="I79" t="n">
        <v>9.9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49580-2025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45939</v>
      </c>
      <c r="E80" s="1" t="n">
        <v>46216</v>
      </c>
      <c r="F80" t="inlineStr">
        <is>
          <t>VÄRMLANDS LÄN</t>
        </is>
      </c>
      <c r="G80" t="inlineStr">
        <is>
          <t>STORFORS</t>
        </is>
      </c>
      <c r="H80" t="inlineStr">
        <is>
          <t>Bergvik skog väst AB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63080-2025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46009</v>
      </c>
      <c r="E81" s="1" t="n">
        <v>46216</v>
      </c>
      <c r="F81" t="inlineStr">
        <is>
          <t>VÄRMLANDS LÄN</t>
        </is>
      </c>
      <c r="G81" t="inlineStr">
        <is>
          <t>STORFORS</t>
        </is>
      </c>
      <c r="H81" t="inlineStr">
        <is>
          <t>Naturvårdsverket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44178-2025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45915</v>
      </c>
      <c r="E82" s="1" t="n">
        <v>46216</v>
      </c>
      <c r="F82" t="inlineStr">
        <is>
          <t>VÄRMLANDS LÄN</t>
        </is>
      </c>
      <c r="G82" t="inlineStr">
        <is>
          <t>STORFORS</t>
        </is>
      </c>
      <c r="H82" t="inlineStr">
        <is>
          <t>Bergvik skog väst AB</t>
        </is>
      </c>
      <c r="I82" t="n">
        <v>10.6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2037-2023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44939</v>
      </c>
      <c r="E83" s="1" t="n">
        <v>46216</v>
      </c>
      <c r="F83" t="inlineStr">
        <is>
          <t>VÄRMLANDS LÄN</t>
        </is>
      </c>
      <c r="G83" t="inlineStr">
        <is>
          <t>STORFORS</t>
        </is>
      </c>
      <c r="H83" t="inlineStr">
        <is>
          <t>Kyrkan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13185-2026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46093</v>
      </c>
      <c r="E84" s="1" t="n">
        <v>46216</v>
      </c>
      <c r="F84" t="inlineStr">
        <is>
          <t>VÄRMLANDS LÄN</t>
        </is>
      </c>
      <c r="G84" t="inlineStr">
        <is>
          <t>STORFORS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21929-2023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45068</v>
      </c>
      <c r="E85" s="1" t="n">
        <v>46216</v>
      </c>
      <c r="F85" t="inlineStr">
        <is>
          <t>VÄRMLANDS LÄN</t>
        </is>
      </c>
      <c r="G85" t="inlineStr">
        <is>
          <t>STORFORS</t>
        </is>
      </c>
      <c r="I85" t="n">
        <v>6.8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59449-2022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44907</v>
      </c>
      <c r="E86" s="1" t="n">
        <v>46216</v>
      </c>
      <c r="F86" t="inlineStr">
        <is>
          <t>VÄRMLANDS LÄN</t>
        </is>
      </c>
      <c r="G86" t="inlineStr">
        <is>
          <t>STORFORS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13960-2026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46098</v>
      </c>
      <c r="E87" s="1" t="n">
        <v>46216</v>
      </c>
      <c r="F87" t="inlineStr">
        <is>
          <t>VÄRMLANDS LÄN</t>
        </is>
      </c>
      <c r="G87" t="inlineStr">
        <is>
          <t>STORFORS</t>
        </is>
      </c>
      <c r="H87" t="inlineStr">
        <is>
          <t>Bergvik skog väst AB</t>
        </is>
      </c>
      <c r="I87" t="n">
        <v>7.7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14435-2026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46100</v>
      </c>
      <c r="E88" s="1" t="n">
        <v>46216</v>
      </c>
      <c r="F88" t="inlineStr">
        <is>
          <t>VÄRMLANDS LÄN</t>
        </is>
      </c>
      <c r="G88" t="inlineStr">
        <is>
          <t>STORFORS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17756-2023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45037</v>
      </c>
      <c r="E89" s="1" t="n">
        <v>46216</v>
      </c>
      <c r="F89" t="inlineStr">
        <is>
          <t>VÄRMLANDS LÄN</t>
        </is>
      </c>
      <c r="G89" t="inlineStr">
        <is>
          <t>STORFORS</t>
        </is>
      </c>
      <c r="I89" t="n">
        <v>8.1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16359-2023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45028</v>
      </c>
      <c r="E90" s="1" t="n">
        <v>46216</v>
      </c>
      <c r="F90" t="inlineStr">
        <is>
          <t>VÄRMLANDS LÄN</t>
        </is>
      </c>
      <c r="G90" t="inlineStr">
        <is>
          <t>STORFORS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16421-2026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46111</v>
      </c>
      <c r="E91" s="1" t="n">
        <v>46216</v>
      </c>
      <c r="F91" t="inlineStr">
        <is>
          <t>VÄRMLANDS LÄN</t>
        </is>
      </c>
      <c r="G91" t="inlineStr">
        <is>
          <t>STORFORS</t>
        </is>
      </c>
      <c r="H91" t="inlineStr">
        <is>
          <t>Bergvik skog väst AB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53202-2023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45229</v>
      </c>
      <c r="E92" s="1" t="n">
        <v>46216</v>
      </c>
      <c r="F92" t="inlineStr">
        <is>
          <t>VÄRMLANDS LÄN</t>
        </is>
      </c>
      <c r="G92" t="inlineStr">
        <is>
          <t>STORFORS</t>
        </is>
      </c>
      <c r="I92" t="n">
        <v>7.6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58586-2024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45635</v>
      </c>
      <c r="E93" s="1" t="n">
        <v>46216</v>
      </c>
      <c r="F93" t="inlineStr">
        <is>
          <t>VÄRMLANDS LÄN</t>
        </is>
      </c>
      <c r="G93" t="inlineStr">
        <is>
          <t>STORFORS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18757-2026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46128</v>
      </c>
      <c r="E94" s="1" t="n">
        <v>46216</v>
      </c>
      <c r="F94" t="inlineStr">
        <is>
          <t>VÄRMLANDS LÄN</t>
        </is>
      </c>
      <c r="G94" t="inlineStr">
        <is>
          <t>STORFORS</t>
        </is>
      </c>
      <c r="H94" t="inlineStr">
        <is>
          <t>Naturvårdsverket</t>
        </is>
      </c>
      <c r="I94" t="n">
        <v>14.1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2342-2023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44938</v>
      </c>
      <c r="E95" s="1" t="n">
        <v>46216</v>
      </c>
      <c r="F95" t="inlineStr">
        <is>
          <t>VÄRMLANDS LÄN</t>
        </is>
      </c>
      <c r="G95" t="inlineStr">
        <is>
          <t>STORFORS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487-2023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44930</v>
      </c>
      <c r="E96" s="1" t="n">
        <v>46216</v>
      </c>
      <c r="F96" t="inlineStr">
        <is>
          <t>VÄRMLANDS LÄN</t>
        </is>
      </c>
      <c r="G96" t="inlineStr">
        <is>
          <t>STORFORS</t>
        </is>
      </c>
      <c r="I96" t="n">
        <v>7.3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2363-2023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44938</v>
      </c>
      <c r="E97" s="1" t="n">
        <v>46216</v>
      </c>
      <c r="F97" t="inlineStr">
        <is>
          <t>VÄRMLANDS LÄN</t>
        </is>
      </c>
      <c r="G97" t="inlineStr">
        <is>
          <t>STORFORS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26067-2026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46181</v>
      </c>
      <c r="E98" s="1" t="n">
        <v>46216</v>
      </c>
      <c r="F98" t="inlineStr">
        <is>
          <t>VÄRMLANDS LÄN</t>
        </is>
      </c>
      <c r="G98" t="inlineStr">
        <is>
          <t>STORFORS</t>
        </is>
      </c>
      <c r="I98" t="n">
        <v>4.4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26075-2026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46181</v>
      </c>
      <c r="E99" s="1" t="n">
        <v>46216</v>
      </c>
      <c r="F99" t="inlineStr">
        <is>
          <t>VÄRMLANDS LÄN</t>
        </is>
      </c>
      <c r="G99" t="inlineStr">
        <is>
          <t>STORFORS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52834-2023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45226</v>
      </c>
      <c r="E100" s="1" t="n">
        <v>46216</v>
      </c>
      <c r="F100" t="inlineStr">
        <is>
          <t>VÄRMLANDS LÄN</t>
        </is>
      </c>
      <c r="G100" t="inlineStr">
        <is>
          <t>STORFORS</t>
        </is>
      </c>
      <c r="H100" t="inlineStr">
        <is>
          <t>Bergvik skog väst AB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13288-2024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45386</v>
      </c>
      <c r="E101" s="1" t="n">
        <v>46216</v>
      </c>
      <c r="F101" t="inlineStr">
        <is>
          <t>VÄRMLANDS LÄN</t>
        </is>
      </c>
      <c r="G101" t="inlineStr">
        <is>
          <t>STORFORS</t>
        </is>
      </c>
      <c r="H101" t="inlineStr">
        <is>
          <t>Kyrkan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20311-2026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46139</v>
      </c>
      <c r="E102" s="1" t="n">
        <v>46216</v>
      </c>
      <c r="F102" t="inlineStr">
        <is>
          <t>VÄRMLANDS LÄN</t>
        </is>
      </c>
      <c r="G102" t="inlineStr">
        <is>
          <t>STORFORS</t>
        </is>
      </c>
      <c r="H102" t="inlineStr">
        <is>
          <t>Kyrkan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1840-2023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44938</v>
      </c>
      <c r="E103" s="1" t="n">
        <v>46216</v>
      </c>
      <c r="F103" t="inlineStr">
        <is>
          <t>VÄRMLANDS LÄN</t>
        </is>
      </c>
      <c r="G103" t="inlineStr">
        <is>
          <t>STORFORS</t>
        </is>
      </c>
      <c r="H103" t="inlineStr">
        <is>
          <t>Kyrkan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20453-2026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46140</v>
      </c>
      <c r="E104" s="1" t="n">
        <v>46216</v>
      </c>
      <c r="F104" t="inlineStr">
        <is>
          <t>VÄRMLANDS LÄN</t>
        </is>
      </c>
      <c r="G104" t="inlineStr">
        <is>
          <t>STORFORS</t>
        </is>
      </c>
      <c r="H104" t="inlineStr">
        <is>
          <t>Bergvik skog väst AB</t>
        </is>
      </c>
      <c r="I104" t="n">
        <v>16.1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20527-2026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46140</v>
      </c>
      <c r="E105" s="1" t="n">
        <v>46216</v>
      </c>
      <c r="F105" t="inlineStr">
        <is>
          <t>VÄRMLANDS LÄN</t>
        </is>
      </c>
      <c r="G105" t="inlineStr">
        <is>
          <t>STORFORS</t>
        </is>
      </c>
      <c r="H105" t="inlineStr">
        <is>
          <t>Bergvik skog väst AB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20533-2026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46140</v>
      </c>
      <c r="E106" s="1" t="n">
        <v>46216</v>
      </c>
      <c r="F106" t="inlineStr">
        <is>
          <t>VÄRMLANDS LÄN</t>
        </is>
      </c>
      <c r="G106" t="inlineStr">
        <is>
          <t>STORFORS</t>
        </is>
      </c>
      <c r="H106" t="inlineStr">
        <is>
          <t>Bergvik skog väst AB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20543-2026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46140</v>
      </c>
      <c r="E107" s="1" t="n">
        <v>46216</v>
      </c>
      <c r="F107" t="inlineStr">
        <is>
          <t>VÄRMLANDS LÄN</t>
        </is>
      </c>
      <c r="G107" t="inlineStr">
        <is>
          <t>STORFORS</t>
        </is>
      </c>
      <c r="H107" t="inlineStr">
        <is>
          <t>Bergvik skog väst AB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20465-2026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46140</v>
      </c>
      <c r="E108" s="1" t="n">
        <v>46216</v>
      </c>
      <c r="F108" t="inlineStr">
        <is>
          <t>VÄRMLANDS LÄN</t>
        </is>
      </c>
      <c r="G108" t="inlineStr">
        <is>
          <t>STORFORS</t>
        </is>
      </c>
      <c r="H108" t="inlineStr">
        <is>
          <t>Bergvik skog väst AB</t>
        </is>
      </c>
      <c r="I108" t="n">
        <v>10.7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20749-2026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46141</v>
      </c>
      <c r="E109" s="1" t="n">
        <v>46216</v>
      </c>
      <c r="F109" t="inlineStr">
        <is>
          <t>VÄRMLANDS LÄN</t>
        </is>
      </c>
      <c r="G109" t="inlineStr">
        <is>
          <t>STORFORS</t>
        </is>
      </c>
      <c r="H109" t="inlineStr">
        <is>
          <t>Bergvik skog väst AB</t>
        </is>
      </c>
      <c r="I109" t="n">
        <v>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48591-2024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45593</v>
      </c>
      <c r="E110" s="1" t="n">
        <v>46216</v>
      </c>
      <c r="F110" t="inlineStr">
        <is>
          <t>VÄRMLANDS LÄN</t>
        </is>
      </c>
      <c r="G110" t="inlineStr">
        <is>
          <t>STORFORS</t>
        </is>
      </c>
      <c r="I110" t="n">
        <v>3.4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20449-2026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46140</v>
      </c>
      <c r="E111" s="1" t="n">
        <v>46216</v>
      </c>
      <c r="F111" t="inlineStr">
        <is>
          <t>VÄRMLANDS LÄN</t>
        </is>
      </c>
      <c r="G111" t="inlineStr">
        <is>
          <t>STORFORS</t>
        </is>
      </c>
      <c r="H111" t="inlineStr">
        <is>
          <t>Bergvik skog väst AB</t>
        </is>
      </c>
      <c r="I111" t="n">
        <v>5.9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30587-2023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45112</v>
      </c>
      <c r="E112" s="1" t="n">
        <v>46216</v>
      </c>
      <c r="F112" t="inlineStr">
        <is>
          <t>VÄRMLANDS LÄN</t>
        </is>
      </c>
      <c r="G112" t="inlineStr">
        <is>
          <t>STORFORS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21035-2026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46146</v>
      </c>
      <c r="E113" s="1" t="n">
        <v>46216</v>
      </c>
      <c r="F113" t="inlineStr">
        <is>
          <t>VÄRMLANDS LÄN</t>
        </is>
      </c>
      <c r="G113" t="inlineStr">
        <is>
          <t>STORFORS</t>
        </is>
      </c>
      <c r="I113" t="n">
        <v>9.1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53388-2024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45614</v>
      </c>
      <c r="E114" s="1" t="n">
        <v>46216</v>
      </c>
      <c r="F114" t="inlineStr">
        <is>
          <t>VÄRMLANDS LÄN</t>
        </is>
      </c>
      <c r="G114" t="inlineStr">
        <is>
          <t>STORFORS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48309-2021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44450</v>
      </c>
      <c r="E115" s="1" t="n">
        <v>46216</v>
      </c>
      <c r="F115" t="inlineStr">
        <is>
          <t>VÄRMLANDS LÄN</t>
        </is>
      </c>
      <c r="G115" t="inlineStr">
        <is>
          <t>STORFORS</t>
        </is>
      </c>
      <c r="I115" t="n">
        <v>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11452-2024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45372</v>
      </c>
      <c r="E116" s="1" t="n">
        <v>46216</v>
      </c>
      <c r="F116" t="inlineStr">
        <is>
          <t>VÄRMLANDS LÄN</t>
        </is>
      </c>
      <c r="G116" t="inlineStr">
        <is>
          <t>STORFORS</t>
        </is>
      </c>
      <c r="H116" t="inlineStr">
        <is>
          <t>Bergvik skog väst AB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24846-2022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44728</v>
      </c>
      <c r="E117" s="1" t="n">
        <v>46216</v>
      </c>
      <c r="F117" t="inlineStr">
        <is>
          <t>VÄRMLANDS LÄN</t>
        </is>
      </c>
      <c r="G117" t="inlineStr">
        <is>
          <t>STORFORS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8269-2025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45708</v>
      </c>
      <c r="E118" s="1" t="n">
        <v>46216</v>
      </c>
      <c r="F118" t="inlineStr">
        <is>
          <t>VÄRMLANDS LÄN</t>
        </is>
      </c>
      <c r="G118" t="inlineStr">
        <is>
          <t>STORFORS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28148-2026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46195</v>
      </c>
      <c r="E119" s="1" t="n">
        <v>46216</v>
      </c>
      <c r="F119" t="inlineStr">
        <is>
          <t>VÄRMLANDS LÄN</t>
        </is>
      </c>
      <c r="G119" t="inlineStr">
        <is>
          <t>STORFORS</t>
        </is>
      </c>
      <c r="H119" t="inlineStr">
        <is>
          <t>Bergvik skog väst AB</t>
        </is>
      </c>
      <c r="I119" t="n">
        <v>23.6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61586-2025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46002</v>
      </c>
      <c r="E120" s="1" t="n">
        <v>46216</v>
      </c>
      <c r="F120" t="inlineStr">
        <is>
          <t>VÄRMLANDS LÄN</t>
        </is>
      </c>
      <c r="G120" t="inlineStr">
        <is>
          <t>STORFORS</t>
        </is>
      </c>
      <c r="H120" t="inlineStr">
        <is>
          <t>Bergvik skog väst AB</t>
        </is>
      </c>
      <c r="I120" t="n">
        <v>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2352-2023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44938</v>
      </c>
      <c r="E121" s="1" t="n">
        <v>46216</v>
      </c>
      <c r="F121" t="inlineStr">
        <is>
          <t>VÄRMLANDS LÄN</t>
        </is>
      </c>
      <c r="G121" t="inlineStr">
        <is>
          <t>STORFORS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58451-2025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45985</v>
      </c>
      <c r="E122" s="1" t="n">
        <v>46216</v>
      </c>
      <c r="F122" t="inlineStr">
        <is>
          <t>VÄRMLANDS LÄN</t>
        </is>
      </c>
      <c r="G122" t="inlineStr">
        <is>
          <t>STORFORS</t>
        </is>
      </c>
      <c r="H122" t="inlineStr">
        <is>
          <t>Bergvik skog väst AB</t>
        </is>
      </c>
      <c r="I122" t="n">
        <v>14.1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28218-2026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46196</v>
      </c>
      <c r="E123" s="1" t="n">
        <v>46216</v>
      </c>
      <c r="F123" t="inlineStr">
        <is>
          <t>VÄRMLANDS LÄN</t>
        </is>
      </c>
      <c r="G123" t="inlineStr">
        <is>
          <t>STORFORS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28979-2026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46199</v>
      </c>
      <c r="E124" s="1" t="n">
        <v>46216</v>
      </c>
      <c r="F124" t="inlineStr">
        <is>
          <t>VÄRMLANDS LÄN</t>
        </is>
      </c>
      <c r="G124" t="inlineStr">
        <is>
          <t>STORFORS</t>
        </is>
      </c>
      <c r="H124" t="inlineStr">
        <is>
          <t>Kyrkan</t>
        </is>
      </c>
      <c r="I124" t="n">
        <v>4.1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29426-2026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46203</v>
      </c>
      <c r="E125" s="1" t="n">
        <v>46216</v>
      </c>
      <c r="F125" t="inlineStr">
        <is>
          <t>VÄRMLANDS LÄN</t>
        </is>
      </c>
      <c r="G125" t="inlineStr">
        <is>
          <t>STORFORS</t>
        </is>
      </c>
      <c r="H125" t="inlineStr">
        <is>
          <t>Bergvik skog väst AB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41214-2023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45174</v>
      </c>
      <c r="E126" s="1" t="n">
        <v>46216</v>
      </c>
      <c r="F126" t="inlineStr">
        <is>
          <t>VÄRMLANDS LÄN</t>
        </is>
      </c>
      <c r="G126" t="inlineStr">
        <is>
          <t>STORFORS</t>
        </is>
      </c>
      <c r="H126" t="inlineStr">
        <is>
          <t>Bergvik skog väst AB</t>
        </is>
      </c>
      <c r="I126" t="n">
        <v>51.6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26230-2024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45468</v>
      </c>
      <c r="E127" s="1" t="n">
        <v>46216</v>
      </c>
      <c r="F127" t="inlineStr">
        <is>
          <t>VÄRMLANDS LÄN</t>
        </is>
      </c>
      <c r="G127" t="inlineStr">
        <is>
          <t>STORFORS</t>
        </is>
      </c>
      <c r="H127" t="inlineStr">
        <is>
          <t>Bergvik skog väst AB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8639-2025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45711</v>
      </c>
      <c r="E128" s="1" t="n">
        <v>46216</v>
      </c>
      <c r="F128" t="inlineStr">
        <is>
          <t>VÄRMLANDS LÄN</t>
        </is>
      </c>
      <c r="G128" t="inlineStr">
        <is>
          <t>STORFORS</t>
        </is>
      </c>
      <c r="I128" t="n">
        <v>4.1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29444-2026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46203</v>
      </c>
      <c r="E129" s="1" t="n">
        <v>46216</v>
      </c>
      <c r="F129" t="inlineStr">
        <is>
          <t>VÄRMLANDS LÄN</t>
        </is>
      </c>
      <c r="G129" t="inlineStr">
        <is>
          <t>STORFORS</t>
        </is>
      </c>
      <c r="H129" t="inlineStr">
        <is>
          <t>Naturvårdsverket</t>
        </is>
      </c>
      <c r="I129" t="n">
        <v>5.2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41325-2023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45174</v>
      </c>
      <c r="E130" s="1" t="n">
        <v>46216</v>
      </c>
      <c r="F130" t="inlineStr">
        <is>
          <t>VÄRMLANDS LÄN</t>
        </is>
      </c>
      <c r="G130" t="inlineStr">
        <is>
          <t>STORFORS</t>
        </is>
      </c>
      <c r="H130" t="inlineStr">
        <is>
          <t>Bergvik skog väst AB</t>
        </is>
      </c>
      <c r="I130" t="n">
        <v>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29829-2026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46205</v>
      </c>
      <c r="E131" s="1" t="n">
        <v>46216</v>
      </c>
      <c r="F131" t="inlineStr">
        <is>
          <t>VÄRMLANDS LÄN</t>
        </is>
      </c>
      <c r="G131" t="inlineStr">
        <is>
          <t>STORFORS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47894-2023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45204</v>
      </c>
      <c r="E132" s="1" t="n">
        <v>46216</v>
      </c>
      <c r="F132" t="inlineStr">
        <is>
          <t>VÄRMLANDS LÄN</t>
        </is>
      </c>
      <c r="G132" t="inlineStr">
        <is>
          <t>STORFORS</t>
        </is>
      </c>
      <c r="H132" t="inlineStr">
        <is>
          <t>Bergvik skog väst AB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57792-2022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44897</v>
      </c>
      <c r="E133" s="1" t="n">
        <v>46216</v>
      </c>
      <c r="F133" t="inlineStr">
        <is>
          <t>VÄRMLANDS LÄN</t>
        </is>
      </c>
      <c r="G133" t="inlineStr">
        <is>
          <t>STORFORS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30425-2026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46209</v>
      </c>
      <c r="E134" s="1" t="n">
        <v>46216</v>
      </c>
      <c r="F134" t="inlineStr">
        <is>
          <t>VÄRMLANDS LÄN</t>
        </is>
      </c>
      <c r="G134" t="inlineStr">
        <is>
          <t>STORFORS</t>
        </is>
      </c>
      <c r="H134" t="inlineStr">
        <is>
          <t>Kyrkan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39025-2023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45163</v>
      </c>
      <c r="E135" s="1" t="n">
        <v>46216</v>
      </c>
      <c r="F135" t="inlineStr">
        <is>
          <t>VÄRMLANDS LÄN</t>
        </is>
      </c>
      <c r="G135" t="inlineStr">
        <is>
          <t>STORFORS</t>
        </is>
      </c>
      <c r="H135" t="inlineStr">
        <is>
          <t>Kyrkan</t>
        </is>
      </c>
      <c r="I135" t="n">
        <v>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24406-2026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46169</v>
      </c>
      <c r="E136" s="1" t="n">
        <v>46216</v>
      </c>
      <c r="F136" t="inlineStr">
        <is>
          <t>VÄRMLANDS LÄN</t>
        </is>
      </c>
      <c r="G136" t="inlineStr">
        <is>
          <t>STORFORS</t>
        </is>
      </c>
      <c r="H136" t="inlineStr">
        <is>
          <t>Kyrkan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28467-2022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44747</v>
      </c>
      <c r="E137" s="1" t="n">
        <v>46216</v>
      </c>
      <c r="F137" t="inlineStr">
        <is>
          <t>VÄRMLANDS LÄN</t>
        </is>
      </c>
      <c r="G137" t="inlineStr">
        <is>
          <t>STORFORS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24442-2026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46170</v>
      </c>
      <c r="E138" s="1" t="n">
        <v>46216</v>
      </c>
      <c r="F138" t="inlineStr">
        <is>
          <t>VÄRMLANDS LÄN</t>
        </is>
      </c>
      <c r="G138" t="inlineStr">
        <is>
          <t>STORFORS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53353-2024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45614</v>
      </c>
      <c r="E139" s="1" t="n">
        <v>46216</v>
      </c>
      <c r="F139" t="inlineStr">
        <is>
          <t>VÄRMLANDS LÄN</t>
        </is>
      </c>
      <c r="G139" t="inlineStr">
        <is>
          <t>STORFORS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23279-2024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45453</v>
      </c>
      <c r="E140" s="1" t="n">
        <v>46216</v>
      </c>
      <c r="F140" t="inlineStr">
        <is>
          <t>VÄRMLANDS LÄN</t>
        </is>
      </c>
      <c r="G140" t="inlineStr">
        <is>
          <t>STORFORS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35370-2023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45146</v>
      </c>
      <c r="E141" s="1" t="n">
        <v>46216</v>
      </c>
      <c r="F141" t="inlineStr">
        <is>
          <t>VÄRMLANDS LÄN</t>
        </is>
      </c>
      <c r="G141" t="inlineStr">
        <is>
          <t>STORFORS</t>
        </is>
      </c>
      <c r="H141" t="inlineStr">
        <is>
          <t>Kyrkan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53912-2024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45615</v>
      </c>
      <c r="E142" s="1" t="n">
        <v>46216</v>
      </c>
      <c r="F142" t="inlineStr">
        <is>
          <t>VÄRMLANDS LÄN</t>
        </is>
      </c>
      <c r="G142" t="inlineStr">
        <is>
          <t>STORFORS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49596-2024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45596</v>
      </c>
      <c r="E143" s="1" t="n">
        <v>46216</v>
      </c>
      <c r="F143" t="inlineStr">
        <is>
          <t>VÄRMLANDS LÄN</t>
        </is>
      </c>
      <c r="G143" t="inlineStr">
        <is>
          <t>STORFORS</t>
        </is>
      </c>
      <c r="H143" t="inlineStr">
        <is>
          <t>Bergvik skog väst AB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14605-2024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45396</v>
      </c>
      <c r="E144" s="1" t="n">
        <v>46216</v>
      </c>
      <c r="F144" t="inlineStr">
        <is>
          <t>VÄRMLANDS LÄN</t>
        </is>
      </c>
      <c r="G144" t="inlineStr">
        <is>
          <t>STORFORS</t>
        </is>
      </c>
      <c r="H144" t="inlineStr">
        <is>
          <t>Bergvik skog väst AB</t>
        </is>
      </c>
      <c r="I144" t="n">
        <v>9.6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213-2025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45660</v>
      </c>
      <c r="E145" s="1" t="n">
        <v>46216</v>
      </c>
      <c r="F145" t="inlineStr">
        <is>
          <t>VÄRMLANDS LÄN</t>
        </is>
      </c>
      <c r="G145" t="inlineStr">
        <is>
          <t>STORFORS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S 4139-2023</t>
        </is>
      </c>
      <c r="B146" t="inlineStr">
        <is>
          <t>samrådsanmälan</t>
        </is>
      </c>
      <c r="C146" t="inlineStr">
        <is>
          <t>Skogsgödsling</t>
        </is>
      </c>
      <c r="D146" s="1" t="n">
        <v>45247</v>
      </c>
      <c r="E146" s="1" t="n">
        <v>46216</v>
      </c>
      <c r="F146" t="inlineStr">
        <is>
          <t>VÄRMLANDS LÄN</t>
        </is>
      </c>
      <c r="G146" t="inlineStr">
        <is>
          <t>STORFORS</t>
        </is>
      </c>
      <c r="H146" t="inlineStr">
        <is>
          <t>Bergvik skog väst AB</t>
        </is>
      </c>
      <c r="I146" t="n">
        <v>20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S 4141-2023</t>
        </is>
      </c>
      <c r="B147" t="inlineStr">
        <is>
          <t>samrådsanmälan</t>
        </is>
      </c>
      <c r="C147" t="inlineStr">
        <is>
          <t>Skogsgödsling</t>
        </is>
      </c>
      <c r="D147" s="1" t="n">
        <v>45247</v>
      </c>
      <c r="E147" s="1" t="n">
        <v>46216</v>
      </c>
      <c r="F147" t="inlineStr">
        <is>
          <t>VÄRMLANDS LÄN</t>
        </is>
      </c>
      <c r="G147" t="inlineStr">
        <is>
          <t>STORFORS</t>
        </is>
      </c>
      <c r="H147" t="inlineStr">
        <is>
          <t>Naturvårdsverket</t>
        </is>
      </c>
      <c r="I147" t="n">
        <v>20.6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S 733-2025</t>
        </is>
      </c>
      <c r="B148" t="inlineStr">
        <is>
          <t>samrådsanmälan</t>
        </is>
      </c>
      <c r="C148" t="inlineStr">
        <is>
          <t>Skogsgödsling</t>
        </is>
      </c>
      <c r="D148" s="1" t="n">
        <v>45716</v>
      </c>
      <c r="E148" s="1" t="n">
        <v>46216</v>
      </c>
      <c r="F148" t="inlineStr">
        <is>
          <t>VÄRMLANDS LÄN</t>
        </is>
      </c>
      <c r="G148" t="inlineStr">
        <is>
          <t>STORFORS</t>
        </is>
      </c>
      <c r="H148" t="inlineStr">
        <is>
          <t>Bergvik skog väst AB</t>
        </is>
      </c>
      <c r="I148" t="n">
        <v>33.7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S 98-2026</t>
        </is>
      </c>
      <c r="B149" t="inlineStr">
        <is>
          <t>samrådsanmälan</t>
        </is>
      </c>
      <c r="C149" t="inlineStr">
        <is>
          <t>Skogsgödsling</t>
        </is>
      </c>
      <c r="D149" s="1" t="n">
        <v>46036</v>
      </c>
      <c r="E149" s="1" t="n">
        <v>46216</v>
      </c>
      <c r="F149" t="inlineStr">
        <is>
          <t>VÄRMLANDS LÄN</t>
        </is>
      </c>
      <c r="G149" t="inlineStr">
        <is>
          <t>STORFORS</t>
        </is>
      </c>
      <c r="H149" t="inlineStr">
        <is>
          <t>Bergvik skog väst AB</t>
        </is>
      </c>
      <c r="I149" t="n">
        <v>72.5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>
      <c r="A150" t="inlineStr">
        <is>
          <t>S 1683-2026</t>
        </is>
      </c>
      <c r="B150" t="inlineStr">
        <is>
          <t>samrådsanmälan</t>
        </is>
      </c>
      <c r="C150" t="inlineStr">
        <is>
          <t>Annan skogsbruksåtgärd</t>
        </is>
      </c>
      <c r="D150" s="1" t="n">
        <v>46182</v>
      </c>
      <c r="E150" s="1" t="n">
        <v>46216</v>
      </c>
      <c r="F150" t="inlineStr">
        <is>
          <t>VÄRMLANDS LÄN</t>
        </is>
      </c>
      <c r="G150" t="inlineStr">
        <is>
          <t>STORFORS</t>
        </is>
      </c>
      <c r="I150" t="n">
        <v>37.1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2026-07-13T14:51:29Z</dcterms:created>
  <dcterms:modified xmlns:dcterms="http://purl.org/dc/terms/" xmlns:xsi="http://www.w3.org/2001/XMLSchema-instance" xsi:type="dcterms:W3CDTF">2026-07-13T14:51:29Z</dcterms:modified>
</cp:coreProperties>
</file>