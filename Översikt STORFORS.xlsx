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X2">
        <f>HYPERLINK("https://klasma.github.io/Logging_1760/kartor_geotiff/A 56303-2025 georefererad karta.tif", "A 56303-2025")</f>
        <v/>
      </c>
      <c r="Z2">
        <f>HYPERLINK("https://klasma.github.io/Logging_1760/klagomål/A 56303-2025 FSC-klagomål.docx", "A 56303-2025")</f>
        <v/>
      </c>
      <c r="AA2">
        <f>HYPERLINK("https://klasma.github.io/Logging_1760/klagomålsmail/A 56303-2025 FSC-klagomål mail.docx", "A 56303-2025")</f>
        <v/>
      </c>
      <c r="AB2">
        <f>HYPERLINK("https://klasma.github.io/Logging_1760/tillsyn/A 56303-2025 tillsynsbegäran.docx", "A 56303-2025")</f>
        <v/>
      </c>
      <c r="AC2">
        <f>HYPERLINK("https://klasma.github.io/Logging_1760/tillsynsmail/A 56303-2025 tillsynsbegäran mail.docx", "A 56303-2025")</f>
        <v/>
      </c>
      <c r="AD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X3">
        <f>HYPERLINK("https://klasma.github.io/Logging_1760/kartor_geotiff/A 51171-2022 georefererad karta.tif", "A 51171-2022")</f>
        <v/>
      </c>
      <c r="Z3">
        <f>HYPERLINK("https://klasma.github.io/Logging_1760/klagomål/A 51171-2022 FSC-klagomål.docx", "A 51171-2022")</f>
        <v/>
      </c>
      <c r="AA3">
        <f>HYPERLINK("https://klasma.github.io/Logging_1760/klagomålsmail/A 51171-2022 FSC-klagomål mail.docx", "A 51171-2022")</f>
        <v/>
      </c>
      <c r="AB3">
        <f>HYPERLINK("https://klasma.github.io/Logging_1760/tillsyn/A 51171-2022 tillsynsbegäran.docx", "A 51171-2022")</f>
        <v/>
      </c>
      <c r="AC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46223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Orre</t>
        </is>
      </c>
      <c r="V4">
        <f>HYPERLINK("https://klasma.github.io/Logging_1760/artfynd/A 43407-2022 artfynd.xlsx", "A 43407-2022")</f>
        <v/>
      </c>
      <c r="W4">
        <f>HYPERLINK("https://klasma.github.io/Logging_1760/kartor/A 43407-2022 karta.png", "A 43407-2022")</f>
        <v/>
      </c>
      <c r="X4">
        <f>HYPERLINK("https://klasma.github.io/Logging_1760/kartor_geotiff/A 43407-2022 georefererad karta.tif", "A 43407-2022")</f>
        <v/>
      </c>
      <c r="Z4">
        <f>HYPERLINK("https://klasma.github.io/Logging_1760/klagomål/A 43407-2022 FSC-klagomål.docx", "A 43407-2022")</f>
        <v/>
      </c>
      <c r="AA4">
        <f>HYPERLINK("https://klasma.github.io/Logging_1760/klagomålsmail/A 43407-2022 FSC-klagomål mail.docx", "A 43407-2022")</f>
        <v/>
      </c>
      <c r="AB4">
        <f>HYPERLINK("https://klasma.github.io/Logging_1760/tillsyn/A 43407-2022 tillsynsbegäran.docx", "A 43407-2022")</f>
        <v/>
      </c>
      <c r="AC4">
        <f>HYPERLINK("https://klasma.github.io/Logging_1760/tillsynsmail/A 43407-2022 tillsynsbegäran mail.docx", "A 43407-2022")</f>
        <v/>
      </c>
      <c r="AD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46223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Igelkott</t>
        </is>
      </c>
      <c r="V5">
        <f>HYPERLINK("https://klasma.github.io/Logging_1760/artfynd/A 46376-2023 artfynd.xlsx", "A 46376-2023")</f>
        <v/>
      </c>
      <c r="W5">
        <f>HYPERLINK("https://klasma.github.io/Logging_1760/kartor/A 46376-2023 karta.png", "A 46376-2023")</f>
        <v/>
      </c>
      <c r="X5">
        <f>HYPERLINK("https://klasma.github.io/Logging_1760/kartor_geotiff/A 46376-2023 georefererad karta.tif", "A 46376-2023")</f>
        <v/>
      </c>
      <c r="Z5">
        <f>HYPERLINK("https://klasma.github.io/Logging_1760/klagomål/A 46376-2023 FSC-klagomål.docx", "A 46376-2023")</f>
        <v/>
      </c>
      <c r="AA5">
        <f>HYPERLINK("https://klasma.github.io/Logging_1760/klagomålsmail/A 46376-2023 FSC-klagomål mail.docx", "A 46376-2023")</f>
        <v/>
      </c>
      <c r="AB5">
        <f>HYPERLINK("https://klasma.github.io/Logging_1760/tillsyn/A 46376-2023 tillsynsbegäran.docx", "A 46376-2023")</f>
        <v/>
      </c>
      <c r="AC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46223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Knölspindel</t>
        </is>
      </c>
      <c r="V6">
        <f>HYPERLINK("https://klasma.github.io/Logging_1760/artfynd/A 57209-2022 artfynd.xlsx", "A 57209-2022")</f>
        <v/>
      </c>
      <c r="W6">
        <f>HYPERLINK("https://klasma.github.io/Logging_1760/kartor/A 57209-2022 karta.png", "A 57209-2022")</f>
        <v/>
      </c>
      <c r="X6">
        <f>HYPERLINK("https://klasma.github.io/Logging_1760/kartor_geotiff/A 57209-2022 georefererad karta.tif", "A 57209-2022")</f>
        <v/>
      </c>
      <c r="Z6">
        <f>HYPERLINK("https://klasma.github.io/Logging_1760/klagomål/A 57209-2022 FSC-klagomål.docx", "A 57209-2022")</f>
        <v/>
      </c>
      <c r="AA6">
        <f>HYPERLINK("https://klasma.github.io/Logging_1760/klagomålsmail/A 57209-2022 FSC-klagomål mail.docx", "A 57209-2022")</f>
        <v/>
      </c>
      <c r="AB6">
        <f>HYPERLINK("https://klasma.github.io/Logging_1760/tillsyn/A 57209-2022 tillsynsbegäran.docx", "A 57209-2022")</f>
        <v/>
      </c>
      <c r="AC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46223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Korallblylav</t>
        </is>
      </c>
      <c r="V7">
        <f>HYPERLINK("https://klasma.github.io/Logging_1760/artfynd/A 21111-2025 artfynd.xlsx", "A 21111-2025")</f>
        <v/>
      </c>
      <c r="W7">
        <f>HYPERLINK("https://klasma.github.io/Logging_1760/kartor/A 21111-2025 karta.png", "A 21111-2025")</f>
        <v/>
      </c>
      <c r="X7">
        <f>HYPERLINK("https://klasma.github.io/Logging_1760/kartor_geotiff/A 21111-2025 georefererad karta.tif", "A 21111-2025")</f>
        <v/>
      </c>
      <c r="Z7">
        <f>HYPERLINK("https://klasma.github.io/Logging_1760/klagomål/A 21111-2025 FSC-klagomål.docx", "A 21111-2025")</f>
        <v/>
      </c>
      <c r="AA7">
        <f>HYPERLINK("https://klasma.github.io/Logging_1760/klagomålsmail/A 21111-2025 FSC-klagomål mail.docx", "A 21111-2025")</f>
        <v/>
      </c>
      <c r="AB7">
        <f>HYPERLINK("https://klasma.github.io/Logging_1760/tillsyn/A 21111-2025 tillsynsbegäran.docx", "A 21111-2025")</f>
        <v/>
      </c>
      <c r="AC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46223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46223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35084-2022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46223</v>
      </c>
      <c r="F10" t="inlineStr">
        <is>
          <t>VÄRMLANDS LÄN</t>
        </is>
      </c>
      <c r="G10" t="inlineStr">
        <is>
          <t>STORFORS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64815-2021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44512</v>
      </c>
      <c r="E11" s="1" t="n">
        <v>46223</v>
      </c>
      <c r="F11" t="inlineStr">
        <is>
          <t>VÄRMLANDS LÄN</t>
        </is>
      </c>
      <c r="G11" t="inlineStr">
        <is>
          <t>STORFORS</t>
        </is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46223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46223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46223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46223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46223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46223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46223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46223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46223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46223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46223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46223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23279-2024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45453</v>
      </c>
      <c r="E24" s="1" t="n">
        <v>46223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48591-2024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46223</v>
      </c>
      <c r="F25" t="inlineStr">
        <is>
          <t>VÄRMLANDS LÄN</t>
        </is>
      </c>
      <c r="G25" t="inlineStr">
        <is>
          <t>STORFORS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33806-2024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45520</v>
      </c>
      <c r="E26" s="1" t="n">
        <v>46223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44939</v>
      </c>
      <c r="E27" s="1" t="n">
        <v>46223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57792-2022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44897</v>
      </c>
      <c r="E28" s="1" t="n">
        <v>46223</v>
      </c>
      <c r="F28" t="inlineStr">
        <is>
          <t>VÄRMLANDS LÄN</t>
        </is>
      </c>
      <c r="G28" t="inlineStr">
        <is>
          <t>STORFORS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28255-2025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46223</v>
      </c>
      <c r="F29" t="inlineStr">
        <is>
          <t>VÄRMLANDS LÄN</t>
        </is>
      </c>
      <c r="G29" t="inlineStr">
        <is>
          <t>STORFORS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46223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54190-2023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46223</v>
      </c>
      <c r="F31" t="inlineStr">
        <is>
          <t>VÄRMLANDS LÄN</t>
        </is>
      </c>
      <c r="G31" t="inlineStr">
        <is>
          <t>STORFORS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46223</v>
      </c>
      <c r="F32" t="inlineStr">
        <is>
          <t>VÄRMLANDS LÄN</t>
        </is>
      </c>
      <c r="G32" t="inlineStr">
        <is>
          <t>STORFORS</t>
        </is>
      </c>
      <c r="I32" t="n">
        <v>10.8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39623-2025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45890</v>
      </c>
      <c r="E33" s="1" t="n">
        <v>46223</v>
      </c>
      <c r="F33" t="inlineStr">
        <is>
          <t>VÄRMLANDS LÄN</t>
        </is>
      </c>
      <c r="G33" t="inlineStr">
        <is>
          <t>STORFORS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46223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47713-2024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45588</v>
      </c>
      <c r="E35" s="1" t="n">
        <v>46223</v>
      </c>
      <c r="F35" t="inlineStr">
        <is>
          <t>VÄRMLANDS LÄN</t>
        </is>
      </c>
      <c r="G35" t="inlineStr">
        <is>
          <t>STORFORS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47732-2024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45588</v>
      </c>
      <c r="E36" s="1" t="n">
        <v>46223</v>
      </c>
      <c r="F36" t="inlineStr">
        <is>
          <t>VÄRMLANDS LÄN</t>
        </is>
      </c>
      <c r="G36" t="inlineStr">
        <is>
          <t>STORFORS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53388-2024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45614</v>
      </c>
      <c r="E37" s="1" t="n">
        <v>46223</v>
      </c>
      <c r="F37" t="inlineStr">
        <is>
          <t>VÄRMLANDS LÄN</t>
        </is>
      </c>
      <c r="G37" t="inlineStr">
        <is>
          <t>STORFORS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39998-2023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45168</v>
      </c>
      <c r="E38" s="1" t="n">
        <v>46223</v>
      </c>
      <c r="F38" t="inlineStr">
        <is>
          <t>VÄRMLANDS LÄN</t>
        </is>
      </c>
      <c r="G38" t="inlineStr">
        <is>
          <t>STORFORS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26189-2024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46223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45711</v>
      </c>
      <c r="E40" s="1" t="n">
        <v>46223</v>
      </c>
      <c r="F40" t="inlineStr">
        <is>
          <t>VÄRMLANDS LÄN</t>
        </is>
      </c>
      <c r="G40" t="inlineStr">
        <is>
          <t>STORFORS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46612-2025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46223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45355</v>
      </c>
      <c r="E42" s="1" t="n">
        <v>46223</v>
      </c>
      <c r="F42" t="inlineStr">
        <is>
          <t>VÄRMLANDS LÄN</t>
        </is>
      </c>
      <c r="G42" t="inlineStr">
        <is>
          <t>STORFORS</t>
        </is>
      </c>
      <c r="H42" t="inlineStr">
        <is>
          <t>Kyrkan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46223</v>
      </c>
      <c r="F43" t="inlineStr">
        <is>
          <t>VÄRMLANDS LÄN</t>
        </is>
      </c>
      <c r="G43" t="inlineStr">
        <is>
          <t>STORFORS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46223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7028-2026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46057</v>
      </c>
      <c r="E45" s="1" t="n">
        <v>46223</v>
      </c>
      <c r="F45" t="inlineStr">
        <is>
          <t>VÄRMLANDS LÄN</t>
        </is>
      </c>
      <c r="G45" t="inlineStr">
        <is>
          <t>STORFORS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33143-2025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46223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33273-2025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45840</v>
      </c>
      <c r="E47" s="1" t="n">
        <v>46223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44930</v>
      </c>
      <c r="E48" s="1" t="n">
        <v>46223</v>
      </c>
      <c r="F48" t="inlineStr">
        <is>
          <t>VÄRMLANDS LÄN</t>
        </is>
      </c>
      <c r="G48" t="inlineStr">
        <is>
          <t>STORFORS</t>
        </is>
      </c>
      <c r="I48" t="n">
        <v>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46223</v>
      </c>
      <c r="F49" t="inlineStr">
        <is>
          <t>VÄRMLANDS LÄN</t>
        </is>
      </c>
      <c r="G49" t="inlineStr">
        <is>
          <t>STORFORS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47894-2023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46223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37716-2025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45881</v>
      </c>
      <c r="E51" s="1" t="n">
        <v>46223</v>
      </c>
      <c r="F51" t="inlineStr">
        <is>
          <t>VÄRMLANDS LÄN</t>
        </is>
      </c>
      <c r="G51" t="inlineStr">
        <is>
          <t>STORFORS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7427-2026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46223</v>
      </c>
      <c r="F52" t="inlineStr">
        <is>
          <t>VÄRMLANDS LÄN</t>
        </is>
      </c>
      <c r="G52" t="inlineStr">
        <is>
          <t>STORFORS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46059</v>
      </c>
      <c r="E53" s="1" t="n">
        <v>46223</v>
      </c>
      <c r="F53" t="inlineStr">
        <is>
          <t>VÄRMLANDS LÄN</t>
        </is>
      </c>
      <c r="G53" t="inlineStr">
        <is>
          <t>STORFORS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46223</v>
      </c>
      <c r="F54" t="inlineStr">
        <is>
          <t>VÄRMLANDS LÄN</t>
        </is>
      </c>
      <c r="G54" t="inlineStr">
        <is>
          <t>STORFORS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46223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46223</v>
      </c>
      <c r="F56" t="inlineStr">
        <is>
          <t>VÄRMLANDS LÄN</t>
        </is>
      </c>
      <c r="G56" t="inlineStr">
        <is>
          <t>STORFORS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46223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46223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46223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46223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16359-2023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46223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47728-2023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46223</v>
      </c>
      <c r="F62" t="inlineStr">
        <is>
          <t>VÄRMLANDS LÄN</t>
        </is>
      </c>
      <c r="G62" t="inlineStr">
        <is>
          <t>STORFORS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13185-2026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46223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46223</v>
      </c>
      <c r="F64" t="inlineStr">
        <is>
          <t>VÄRMLANDS LÄN</t>
        </is>
      </c>
      <c r="G64" t="inlineStr">
        <is>
          <t>STORFORS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45669</v>
      </c>
      <c r="E65" s="1" t="n">
        <v>46223</v>
      </c>
      <c r="F65" t="inlineStr">
        <is>
          <t>VÄRMLANDS LÄN</t>
        </is>
      </c>
      <c r="G65" t="inlineStr">
        <is>
          <t>STORFORS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13960-2026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46098</v>
      </c>
      <c r="E66" s="1" t="n">
        <v>46223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46000</v>
      </c>
      <c r="E67" s="1" t="n">
        <v>46223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61149-2025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46223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46223</v>
      </c>
      <c r="F69" t="inlineStr">
        <is>
          <t>VÄRMLANDS LÄN</t>
        </is>
      </c>
      <c r="G69" t="inlineStr">
        <is>
          <t>STORFORS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63572-2025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46223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30587-2023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46223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62987-2025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46009</v>
      </c>
      <c r="E72" s="1" t="n">
        <v>46223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63080-2025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46009</v>
      </c>
      <c r="E73" s="1" t="n">
        <v>46223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44178-2025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45915</v>
      </c>
      <c r="E74" s="1" t="n">
        <v>46223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59146-2025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45988</v>
      </c>
      <c r="E75" s="1" t="n">
        <v>46223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49580-2025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46223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16421-2026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46223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70761-2021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46223</v>
      </c>
      <c r="F78" t="inlineStr">
        <is>
          <t>VÄRMLANDS LÄN</t>
        </is>
      </c>
      <c r="G78" t="inlineStr">
        <is>
          <t>STORFORS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36697-2023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45153</v>
      </c>
      <c r="E79" s="1" t="n">
        <v>46223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29002-2023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45104</v>
      </c>
      <c r="E80" s="1" t="n">
        <v>46223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58586-2024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45635</v>
      </c>
      <c r="E81" s="1" t="n">
        <v>46223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21929-2023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46223</v>
      </c>
      <c r="F82" t="inlineStr">
        <is>
          <t>VÄRMLANDS LÄN</t>
        </is>
      </c>
      <c r="G82" t="inlineStr">
        <is>
          <t>STORFORS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15442-2024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45401</v>
      </c>
      <c r="E83" s="1" t="n">
        <v>46223</v>
      </c>
      <c r="F83" t="inlineStr">
        <is>
          <t>VÄRMLANDS LÄN</t>
        </is>
      </c>
      <c r="G83" t="inlineStr">
        <is>
          <t>STORFORS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46223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46223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46223</v>
      </c>
      <c r="F86" t="inlineStr">
        <is>
          <t>VÄRMLANDS LÄN</t>
        </is>
      </c>
      <c r="G86" t="inlineStr">
        <is>
          <t>STORFORS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22935-2023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45072</v>
      </c>
      <c r="E87" s="1" t="n">
        <v>46223</v>
      </c>
      <c r="F87" t="inlineStr">
        <is>
          <t>VÄRMLANDS LÄN</t>
        </is>
      </c>
      <c r="G87" t="inlineStr">
        <is>
          <t>STORFORS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53353-2024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46223</v>
      </c>
      <c r="F88" t="inlineStr">
        <is>
          <t>VÄRMLANDS LÄN</t>
        </is>
      </c>
      <c r="G88" t="inlineStr">
        <is>
          <t>STORFORS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46223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52834-2023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45226</v>
      </c>
      <c r="E90" s="1" t="n">
        <v>46223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20527-2026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46223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20449-2026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46223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20311-2026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46139</v>
      </c>
      <c r="E93" s="1" t="n">
        <v>46223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46223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46223</v>
      </c>
      <c r="F95" t="inlineStr">
        <is>
          <t>VÄRMLANDS LÄN</t>
        </is>
      </c>
      <c r="G95" t="inlineStr">
        <is>
          <t>STORFORS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46223</v>
      </c>
      <c r="F96" t="inlineStr">
        <is>
          <t>VÄRMLANDS LÄN</t>
        </is>
      </c>
      <c r="G96" t="inlineStr">
        <is>
          <t>STORFORS</t>
        </is>
      </c>
      <c r="H96" t="inlineStr">
        <is>
          <t>Naturvårdsverket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46223</v>
      </c>
      <c r="F97" t="inlineStr">
        <is>
          <t>VÄRMLANDS LÄN</t>
        </is>
      </c>
      <c r="G97" t="inlineStr">
        <is>
          <t>STORFORS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54738-2023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45236</v>
      </c>
      <c r="E98" s="1" t="n">
        <v>46223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46223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46223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41325-2023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46223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20543-2026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46223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13288-2024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45386</v>
      </c>
      <c r="E103" s="1" t="n">
        <v>46223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26067-2026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46223</v>
      </c>
      <c r="F104" t="inlineStr">
        <is>
          <t>VÄRMLANDS LÄN</t>
        </is>
      </c>
      <c r="G104" t="inlineStr">
        <is>
          <t>STORFORS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44938</v>
      </c>
      <c r="E105" s="1" t="n">
        <v>46223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26075-2026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46223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20749-2026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46223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53202-2023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46223</v>
      </c>
      <c r="F108" t="inlineStr">
        <is>
          <t>VÄRMLANDS LÄN</t>
        </is>
      </c>
      <c r="G108" t="inlineStr">
        <is>
          <t>STORFORS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21035-2026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46223</v>
      </c>
      <c r="F109" t="inlineStr">
        <is>
          <t>VÄRMLANDS LÄN</t>
        </is>
      </c>
      <c r="G109" t="inlineStr">
        <is>
          <t>STORFORS</t>
        </is>
      </c>
      <c r="I109" t="n">
        <v>9.1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26201-2024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45468</v>
      </c>
      <c r="E110" s="1" t="n">
        <v>46223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11290-2025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46223</v>
      </c>
      <c r="F111" t="inlineStr">
        <is>
          <t>VÄRMLANDS LÄN</t>
        </is>
      </c>
      <c r="G111" t="inlineStr">
        <is>
          <t>STORFORS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46223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28148-2026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46223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17756-2023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46223</v>
      </c>
      <c r="F114" t="inlineStr">
        <is>
          <t>VÄRMLANDS LÄN</t>
        </is>
      </c>
      <c r="G114" t="inlineStr">
        <is>
          <t>STORFORS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28467-2022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44747</v>
      </c>
      <c r="E115" s="1" t="n">
        <v>46223</v>
      </c>
      <c r="F115" t="inlineStr">
        <is>
          <t>VÄRMLANDS LÄN</t>
        </is>
      </c>
      <c r="G115" t="inlineStr">
        <is>
          <t>STORFORS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7072-2023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44969</v>
      </c>
      <c r="E116" s="1" t="n">
        <v>46223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28218-2026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46196</v>
      </c>
      <c r="E117" s="1" t="n">
        <v>46223</v>
      </c>
      <c r="F117" t="inlineStr">
        <is>
          <t>VÄRMLANDS LÄN</t>
        </is>
      </c>
      <c r="G117" t="inlineStr">
        <is>
          <t>STORFORS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57981-2022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46223</v>
      </c>
      <c r="F118" t="inlineStr">
        <is>
          <t>VÄRMLANDS LÄN</t>
        </is>
      </c>
      <c r="G118" t="inlineStr">
        <is>
          <t>STORFORS</t>
        </is>
      </c>
      <c r="H118" t="inlineStr">
        <is>
          <t>Naturvårdsverket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2352-2023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44938</v>
      </c>
      <c r="E119" s="1" t="n">
        <v>46223</v>
      </c>
      <c r="F119" t="inlineStr">
        <is>
          <t>VÄRMLANDS LÄN</t>
        </is>
      </c>
      <c r="G119" t="inlineStr">
        <is>
          <t>STORFORS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46223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24846-2022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44728</v>
      </c>
      <c r="E121" s="1" t="n">
        <v>46223</v>
      </c>
      <c r="F121" t="inlineStr">
        <is>
          <t>VÄRMLANDS LÄN</t>
        </is>
      </c>
      <c r="G121" t="inlineStr">
        <is>
          <t>STORFORS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61586-2025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46002</v>
      </c>
      <c r="E122" s="1" t="n">
        <v>46223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28979-2026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46199</v>
      </c>
      <c r="E123" s="1" t="n">
        <v>46223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46223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46223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29444-2026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46223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29829-2026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46205</v>
      </c>
      <c r="E127" s="1" t="n">
        <v>46223</v>
      </c>
      <c r="F127" t="inlineStr">
        <is>
          <t>VÄRMLANDS LÄN</t>
        </is>
      </c>
      <c r="G127" t="inlineStr">
        <is>
          <t>STORFORS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46223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19324-2022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46223</v>
      </c>
      <c r="F129" t="inlineStr">
        <is>
          <t>VÄRMLANDS LÄN</t>
        </is>
      </c>
      <c r="G129" t="inlineStr">
        <is>
          <t>STORFORS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30425-2026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46209</v>
      </c>
      <c r="E130" s="1" t="n">
        <v>46223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58125-2022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46223</v>
      </c>
      <c r="F131" t="inlineStr">
        <is>
          <t>VÄRMLANDS LÄN</t>
        </is>
      </c>
      <c r="G131" t="inlineStr">
        <is>
          <t>STORFORS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24406-2026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46169</v>
      </c>
      <c r="E132" s="1" t="n">
        <v>46223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59449-2022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44907</v>
      </c>
      <c r="E133" s="1" t="n">
        <v>46223</v>
      </c>
      <c r="F133" t="inlineStr">
        <is>
          <t>VÄRMLANDS LÄN</t>
        </is>
      </c>
      <c r="G133" t="inlineStr">
        <is>
          <t>STORFORS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24442-2026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46223</v>
      </c>
      <c r="F134" t="inlineStr">
        <is>
          <t>VÄRMLANDS LÄN</t>
        </is>
      </c>
      <c r="G134" t="inlineStr">
        <is>
          <t>STORFORS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13636-2024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46223</v>
      </c>
      <c r="F135" t="inlineStr">
        <is>
          <t>VÄRMLANDS LÄN</t>
        </is>
      </c>
      <c r="G135" t="inlineStr">
        <is>
          <t>STORFORS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31441-2026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46223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15152-2022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44658</v>
      </c>
      <c r="E137" s="1" t="n">
        <v>46223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41214-2023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45174</v>
      </c>
      <c r="E138" s="1" t="n">
        <v>46223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51.6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39025-2023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46223</v>
      </c>
      <c r="F139" t="inlineStr">
        <is>
          <t>VÄRMLANDS LÄN</t>
        </is>
      </c>
      <c r="G139" t="inlineStr">
        <is>
          <t>STORFORS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53912-2024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46223</v>
      </c>
      <c r="F140" t="inlineStr">
        <is>
          <t>VÄRMLANDS LÄN</t>
        </is>
      </c>
      <c r="G140" t="inlineStr">
        <is>
          <t>STORFORS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46223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49596-2024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46223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14605-2024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46223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45660</v>
      </c>
      <c r="E144" s="1" t="n">
        <v>46223</v>
      </c>
      <c r="F144" t="inlineStr">
        <is>
          <t>VÄRMLANDS LÄN</t>
        </is>
      </c>
      <c r="G144" t="inlineStr">
        <is>
          <t>STORFORS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24820-2025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46223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46223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46223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46223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46223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46223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2026-07-20T01:48:00Z</dcterms:created>
  <dcterms:modified xmlns:dcterms="http://purl.org/dc/terms/" xmlns:xsi="http://www.w3.org/2001/XMLSchema-instance" xsi:type="dcterms:W3CDTF">2026-07-20T01:48:01Z</dcterms:modified>
</cp:coreProperties>
</file>