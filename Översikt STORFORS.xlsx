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46314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46314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46314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39769-2026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46314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10.9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Igelkott</t>
        </is>
      </c>
      <c r="W7">
        <f>HYPERLINK("https://klasma.github.io/Logging_1760/artfynd/A 39769-2026 artfynd.xlsx", "A 39769-2026")</f>
        <v/>
      </c>
      <c r="X7">
        <f>HYPERLINK("https://klasma.github.io/Logging_1760/kartor/A 39769-2026 karta.png", "A 39769-2026")</f>
        <v/>
      </c>
      <c r="Y7">
        <f>HYPERLINK("https://klasma.github.io/Logging_1760/kartor_geotiff/A 39769-2026 georefererad karta.tif", "A 39769-2026")</f>
        <v/>
      </c>
      <c r="AA7">
        <f>HYPERLINK("https://klasma.github.io/Logging_1760/klagomål/A 39769-2026 FSC-klagomål.docx", "A 39769-2026")</f>
        <v/>
      </c>
      <c r="AB7">
        <f>HYPERLINK("https://klasma.github.io/Logging_1760/klagomålsmail/A 39769-2026 FSC-klagomål mail.docx", "A 39769-2026")</f>
        <v/>
      </c>
      <c r="AC7">
        <f>HYPERLINK("https://klasma.github.io/Logging_1760/tillsyn/A 39769-2026 tillsynsbegäran.docx", "A 39769-2026")</f>
        <v/>
      </c>
      <c r="AD7">
        <f>HYPERLINK("https://klasma.github.io/Logging_1760/tillsynsmail/A 39769-2026 tillsynsbegäran mail.docx", "A 39769-2026")</f>
        <v/>
      </c>
    </row>
    <row r="8" ht="15" customHeight="1">
      <c r="A8" t="inlineStr">
        <is>
          <t>A 21111-2025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45777</v>
      </c>
      <c r="E8" s="1" t="n">
        <v>46314</v>
      </c>
      <c r="F8" t="inlineStr">
        <is>
          <t>VÄRMLANDS LÄN</t>
        </is>
      </c>
      <c r="G8" t="inlineStr">
        <is>
          <t>STORFORS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Korallblylav</t>
        </is>
      </c>
      <c r="W8">
        <f>HYPERLINK("https://klasma.github.io/Logging_1760/artfynd/A 21111-2025 artfynd.xlsx", "A 21111-2025")</f>
        <v/>
      </c>
      <c r="X8">
        <f>HYPERLINK("https://klasma.github.io/Logging_1760/kartor/A 21111-2025 karta.png", "A 21111-2025")</f>
        <v/>
      </c>
      <c r="Y8">
        <f>HYPERLINK("https://klasma.github.io/Logging_1760/kartor_geotiff/A 21111-2025 georefererad karta.tif", "A 21111-2025")</f>
        <v/>
      </c>
      <c r="AA8">
        <f>HYPERLINK("https://klasma.github.io/Logging_1760/klagomål/A 21111-2025 FSC-klagomål.docx", "A 21111-2025")</f>
        <v/>
      </c>
      <c r="AB8">
        <f>HYPERLINK("https://klasma.github.io/Logging_1760/klagomålsmail/A 21111-2025 FSC-klagomål mail.docx", "A 21111-2025")</f>
        <v/>
      </c>
      <c r="AC8">
        <f>HYPERLINK("https://klasma.github.io/Logging_1760/tillsyn/A 21111-2025 tillsynsbegäran.docx", "A 21111-2025")</f>
        <v/>
      </c>
      <c r="AD8">
        <f>HYPERLINK("https://klasma.github.io/Logging_1760/tillsynsmail/A 21111-2025 tillsynsbegäran mail.docx", "A 21111-2025")</f>
        <v/>
      </c>
    </row>
    <row r="9" ht="15" customHeight="1">
      <c r="A9" t="inlineStr">
        <is>
          <t>A 37716-2025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46314</v>
      </c>
      <c r="F9" t="inlineStr">
        <is>
          <t>VÄRMLANDS LÄN</t>
        </is>
      </c>
      <c r="G9" t="inlineStr">
        <is>
          <t>STORFORS</t>
        </is>
      </c>
      <c r="I9" t="n">
        <v>4.5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Ullticka</t>
        </is>
      </c>
      <c r="W9">
        <f>HYPERLINK("https://klasma.github.io/Logging_1760/artfynd/A 37716-2025 artfynd.xlsx", "A 37716-2025")</f>
        <v/>
      </c>
      <c r="X9">
        <f>HYPERLINK("https://klasma.github.io/Logging_1760/kartor/A 37716-2025 karta.png", "A 37716-2025")</f>
        <v/>
      </c>
      <c r="Y9">
        <f>HYPERLINK("https://klasma.github.io/Logging_1760/kartor_geotiff/A 37716-2025 georefererad karta.tif", "A 37716-2025")</f>
        <v/>
      </c>
      <c r="AA9">
        <f>HYPERLINK("https://klasma.github.io/Logging_1760/klagomål/A 37716-2025 FSC-klagomål.docx", "A 37716-2025")</f>
        <v/>
      </c>
      <c r="AB9">
        <f>HYPERLINK("https://klasma.github.io/Logging_1760/klagomålsmail/A 37716-2025 FSC-klagomål mail.docx", "A 37716-2025")</f>
        <v/>
      </c>
      <c r="AC9">
        <f>HYPERLINK("https://klasma.github.io/Logging_1760/tillsyn/A 37716-2025 tillsynsbegäran.docx", "A 37716-2025")</f>
        <v/>
      </c>
      <c r="AD9">
        <f>HYPERLINK("https://klasma.github.io/Logging_1760/tillsynsmail/A 37716-2025 tillsynsbegäran mail.docx", "A 37716-2025")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46314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46314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46314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46314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46314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46314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46314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46314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46314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46314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47728-2023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46314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46314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46314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45669</v>
      </c>
      <c r="E23" s="1" t="n">
        <v>46314</v>
      </c>
      <c r="F23" t="inlineStr">
        <is>
          <t>VÄRMLANDS LÄN</t>
        </is>
      </c>
      <c r="G23" t="inlineStr">
        <is>
          <t>STORFORS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46314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46314</v>
      </c>
      <c r="F25" t="inlineStr">
        <is>
          <t>VÄRMLANDS LÄN</t>
        </is>
      </c>
      <c r="G25" t="inlineStr">
        <is>
          <t>STORFORS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46314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41479-2024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45560</v>
      </c>
      <c r="E27" s="1" t="n">
        <v>46314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46314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46314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46314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46314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46314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20725-2023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46314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46314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46314</v>
      </c>
      <c r="F35" t="inlineStr">
        <is>
          <t>VÄRMLANDS LÄN</t>
        </is>
      </c>
      <c r="G35" t="inlineStr">
        <is>
          <t>STORFORS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46314</v>
      </c>
      <c r="F36" t="inlineStr">
        <is>
          <t>VÄRMLANDS LÄN</t>
        </is>
      </c>
      <c r="G36" t="inlineStr">
        <is>
          <t>STORFORS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46314</v>
      </c>
      <c r="F37" t="inlineStr">
        <is>
          <t>VÄRMLANDS LÄN</t>
        </is>
      </c>
      <c r="G37" t="inlineStr">
        <is>
          <t>STORFORS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26201-2024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45468</v>
      </c>
      <c r="E38" s="1" t="n">
        <v>46314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25.4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44969</v>
      </c>
      <c r="E39" s="1" t="n">
        <v>46314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46314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11290-2025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46314</v>
      </c>
      <c r="F41" t="inlineStr">
        <is>
          <t>VÄRMLANDS LÄN</t>
        </is>
      </c>
      <c r="G41" t="inlineStr">
        <is>
          <t>STORFORS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46314</v>
      </c>
      <c r="F42" t="inlineStr">
        <is>
          <t>VÄRMLANDS LÄN</t>
        </is>
      </c>
      <c r="G42" t="inlineStr">
        <is>
          <t>STORFORS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45386</v>
      </c>
      <c r="E43" s="1" t="n">
        <v>46314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20311-2026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46139</v>
      </c>
      <c r="E44" s="1" t="n">
        <v>46314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20453-2026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46314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20527-2026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46314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46314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20543-2026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46314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46314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46141</v>
      </c>
      <c r="E50" s="1" t="n">
        <v>46314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20449-2026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46314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46314</v>
      </c>
      <c r="F52" t="inlineStr">
        <is>
          <t>VÄRMLANDS LÄN</t>
        </is>
      </c>
      <c r="G52" t="inlineStr">
        <is>
          <t>STORFORS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46314</v>
      </c>
      <c r="F53" t="inlineStr">
        <is>
          <t>VÄRMLANDS LÄN</t>
        </is>
      </c>
      <c r="G53" t="inlineStr">
        <is>
          <t>STORFORS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45236</v>
      </c>
      <c r="E54" s="1" t="n">
        <v>46314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46314</v>
      </c>
      <c r="F55" t="inlineStr">
        <is>
          <t>VÄRMLANDS LÄN</t>
        </is>
      </c>
      <c r="G55" t="inlineStr">
        <is>
          <t>STORFORS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46314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46314</v>
      </c>
      <c r="F57" t="inlineStr">
        <is>
          <t>VÄRMLANDS LÄN</t>
        </is>
      </c>
      <c r="G57" t="inlineStr">
        <is>
          <t>STORFORS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45681</v>
      </c>
      <c r="E58" s="1" t="n">
        <v>46314</v>
      </c>
      <c r="F58" t="inlineStr">
        <is>
          <t>VÄRMLANDS LÄN</t>
        </is>
      </c>
      <c r="G58" t="inlineStr">
        <is>
          <t>STORFORS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46314</v>
      </c>
      <c r="F59" t="inlineStr">
        <is>
          <t>VÄRMLANDS LÄN</t>
        </is>
      </c>
      <c r="G59" t="inlineStr">
        <is>
          <t>STORFORS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61586-2025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46002</v>
      </c>
      <c r="E60" s="1" t="n">
        <v>46314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46314</v>
      </c>
      <c r="F61" t="inlineStr">
        <is>
          <t>VÄRMLANDS LÄN</t>
        </is>
      </c>
      <c r="G61" t="inlineStr">
        <is>
          <t>STORFORS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45985</v>
      </c>
      <c r="E62" s="1" t="n">
        <v>46314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46314</v>
      </c>
      <c r="F63" t="inlineStr">
        <is>
          <t>VÄRMLANDS LÄN</t>
        </is>
      </c>
      <c r="G63" t="inlineStr">
        <is>
          <t>STORFORS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44747</v>
      </c>
      <c r="E64" s="1" t="n">
        <v>46314</v>
      </c>
      <c r="F64" t="inlineStr">
        <is>
          <t>VÄRMLANDS LÄN</t>
        </is>
      </c>
      <c r="G64" t="inlineStr">
        <is>
          <t>STORFORS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53990-2025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45961</v>
      </c>
      <c r="E65" s="1" t="n">
        <v>46314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46314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46314</v>
      </c>
      <c r="F67" t="inlineStr">
        <is>
          <t>VÄRMLANDS LÄN</t>
        </is>
      </c>
      <c r="G67" t="inlineStr">
        <is>
          <t>STORFORS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47713-2024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45588</v>
      </c>
      <c r="E68" s="1" t="n">
        <v>46314</v>
      </c>
      <c r="F68" t="inlineStr">
        <is>
          <t>VÄRMLANDS LÄN</t>
        </is>
      </c>
      <c r="G68" t="inlineStr">
        <is>
          <t>STORFORS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46314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46314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45972</v>
      </c>
      <c r="E71" s="1" t="n">
        <v>46314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46314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46314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46314</v>
      </c>
      <c r="F74" t="inlineStr">
        <is>
          <t>VÄRMLANDS LÄN</t>
        </is>
      </c>
      <c r="G74" t="inlineStr">
        <is>
          <t>STORFORS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44907</v>
      </c>
      <c r="E75" s="1" t="n">
        <v>46314</v>
      </c>
      <c r="F75" t="inlineStr">
        <is>
          <t>VÄRMLANDS LÄN</t>
        </is>
      </c>
      <c r="G75" t="inlineStr">
        <is>
          <t>STORFORS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46314</v>
      </c>
      <c r="F76" t="inlineStr">
        <is>
          <t>VÄRMLANDS LÄN</t>
        </is>
      </c>
      <c r="G76" t="inlineStr">
        <is>
          <t>STORFORS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46314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24406-2026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46169</v>
      </c>
      <c r="E78" s="1" t="n">
        <v>46314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45995</v>
      </c>
      <c r="E79" s="1" t="n">
        <v>46314</v>
      </c>
      <c r="F79" t="inlineStr">
        <is>
          <t>VÄRMLANDS LÄN</t>
        </is>
      </c>
      <c r="G79" t="inlineStr">
        <is>
          <t>STORFORS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46314</v>
      </c>
      <c r="F80" t="inlineStr">
        <is>
          <t>VÄRMLANDS LÄN</t>
        </is>
      </c>
      <c r="G80" t="inlineStr">
        <is>
          <t>STORFORS</t>
        </is>
      </c>
      <c r="H80" t="inlineStr">
        <is>
          <t>Naturvårdsverket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46314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46314</v>
      </c>
      <c r="F82" t="inlineStr">
        <is>
          <t>VÄRMLANDS LÄN</t>
        </is>
      </c>
      <c r="G82" t="inlineStr">
        <is>
          <t>STORFORS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45229</v>
      </c>
      <c r="E83" s="1" t="n">
        <v>46314</v>
      </c>
      <c r="F83" t="inlineStr">
        <is>
          <t>VÄRMLANDS LÄN</t>
        </is>
      </c>
      <c r="G83" t="inlineStr">
        <is>
          <t>STORFORS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46314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46314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45988</v>
      </c>
      <c r="E86" s="1" t="n">
        <v>46314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46314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63080-2025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46314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44178-2025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46314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46314</v>
      </c>
      <c r="F90" t="inlineStr">
        <is>
          <t>VÄRMLANDS LÄN</t>
        </is>
      </c>
      <c r="G90" t="inlineStr">
        <is>
          <t>STORFORS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46314</v>
      </c>
      <c r="F91" t="inlineStr">
        <is>
          <t>VÄRMLANDS LÄN</t>
        </is>
      </c>
      <c r="G91" t="inlineStr">
        <is>
          <t>STORFORS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46314</v>
      </c>
      <c r="F92" t="inlineStr">
        <is>
          <t>VÄRMLANDS LÄN</t>
        </is>
      </c>
      <c r="G92" t="inlineStr">
        <is>
          <t>STORFORS</t>
        </is>
      </c>
      <c r="I92" t="n">
        <v>10.8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46314</v>
      </c>
      <c r="F93" t="inlineStr">
        <is>
          <t>VÄRMLANDS LÄN</t>
        </is>
      </c>
      <c r="G93" t="inlineStr">
        <is>
          <t>STORFORS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46314</v>
      </c>
      <c r="F94" t="inlineStr">
        <is>
          <t>VÄRMLANDS LÄN</t>
        </is>
      </c>
      <c r="G94" t="inlineStr">
        <is>
          <t>STORFORS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46314</v>
      </c>
      <c r="F95" t="inlineStr">
        <is>
          <t>VÄRMLANDS LÄN</t>
        </is>
      </c>
      <c r="G95" t="inlineStr">
        <is>
          <t>STORFORS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46314</v>
      </c>
      <c r="F96" t="inlineStr">
        <is>
          <t>VÄRMLANDS LÄN</t>
        </is>
      </c>
      <c r="G96" t="inlineStr">
        <is>
          <t>STORFORS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46314</v>
      </c>
      <c r="F97" t="inlineStr">
        <is>
          <t>VÄRMLANDS LÄN</t>
        </is>
      </c>
      <c r="G97" t="inlineStr">
        <is>
          <t>STORFORS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46314</v>
      </c>
      <c r="F98" t="inlineStr">
        <is>
          <t>VÄRMLANDS LÄN</t>
        </is>
      </c>
      <c r="G98" t="inlineStr">
        <is>
          <t>STORFORS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46314</v>
      </c>
      <c r="F99" t="inlineStr">
        <is>
          <t>VÄRMLANDS LÄN</t>
        </is>
      </c>
      <c r="G99" t="inlineStr">
        <is>
          <t>STORFORS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46314</v>
      </c>
      <c r="F100" t="inlineStr">
        <is>
          <t>VÄRMLANDS LÄN</t>
        </is>
      </c>
      <c r="G100" t="inlineStr">
        <is>
          <t>STORFORS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46098</v>
      </c>
      <c r="E101" s="1" t="n">
        <v>46314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46314</v>
      </c>
      <c r="F102" t="inlineStr">
        <is>
          <t>VÄRMLANDS LÄN</t>
        </is>
      </c>
      <c r="G102" t="inlineStr">
        <is>
          <t>STORFORS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28148-2026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46314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46196</v>
      </c>
      <c r="E104" s="1" t="n">
        <v>46314</v>
      </c>
      <c r="F104" t="inlineStr">
        <is>
          <t>VÄRMLANDS LÄN</t>
        </is>
      </c>
      <c r="G104" t="inlineStr">
        <is>
          <t>STORFORS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46314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46111</v>
      </c>
      <c r="E106" s="1" t="n">
        <v>46314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46128</v>
      </c>
      <c r="E107" s="1" t="n">
        <v>46314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45593</v>
      </c>
      <c r="E108" s="1" t="n">
        <v>46314</v>
      </c>
      <c r="F108" t="inlineStr">
        <is>
          <t>VÄRMLANDS LÄN</t>
        </is>
      </c>
      <c r="G108" t="inlineStr">
        <is>
          <t>STORFORS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46314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46314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46314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46314</v>
      </c>
      <c r="F112" t="inlineStr">
        <is>
          <t>VÄRMLANDS LÄN</t>
        </is>
      </c>
      <c r="G112" t="inlineStr">
        <is>
          <t>STORFORS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30425-2026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46209</v>
      </c>
      <c r="E113" s="1" t="n">
        <v>46314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28979-2026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46199</v>
      </c>
      <c r="E114" s="1" t="n">
        <v>46314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45372</v>
      </c>
      <c r="E115" s="1" t="n">
        <v>46314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44728</v>
      </c>
      <c r="E116" s="1" t="n">
        <v>46314</v>
      </c>
      <c r="F116" t="inlineStr">
        <is>
          <t>VÄRMLANDS LÄN</t>
        </is>
      </c>
      <c r="G116" t="inlineStr">
        <is>
          <t>STORFORS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46314</v>
      </c>
      <c r="F117" t="inlineStr">
        <is>
          <t>VÄRMLANDS LÄN</t>
        </is>
      </c>
      <c r="G117" t="inlineStr">
        <is>
          <t>STORFORS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46220</v>
      </c>
      <c r="E118" s="1" t="n">
        <v>46314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46314</v>
      </c>
      <c r="F119" t="inlineStr">
        <is>
          <t>VÄRMLANDS LÄN</t>
        </is>
      </c>
      <c r="G119" t="inlineStr">
        <is>
          <t>STORFORS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46227</v>
      </c>
      <c r="E120" s="1" t="n">
        <v>46314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46232</v>
      </c>
      <c r="E121" s="1" t="n">
        <v>46314</v>
      </c>
      <c r="F121" t="inlineStr">
        <is>
          <t>VÄRMLANDS LÄN</t>
        </is>
      </c>
      <c r="G121" t="inlineStr">
        <is>
          <t>STORFORS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46314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46314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46314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45711</v>
      </c>
      <c r="E125" s="1" t="n">
        <v>46314</v>
      </c>
      <c r="F125" t="inlineStr">
        <is>
          <t>VÄRMLANDS LÄN</t>
        </is>
      </c>
      <c r="G125" t="inlineStr">
        <is>
          <t>STORFORS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46314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46314</v>
      </c>
      <c r="F127" t="inlineStr">
        <is>
          <t>VÄRMLANDS LÄN</t>
        </is>
      </c>
      <c r="G127" t="inlineStr">
        <is>
          <t>STORFORS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46289</v>
      </c>
      <c r="E128" s="1" t="n">
        <v>46314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46314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46280</v>
      </c>
      <c r="E130" s="1" t="n">
        <v>46314</v>
      </c>
      <c r="F130" t="inlineStr">
        <is>
          <t>VÄRMLANDS LÄN</t>
        </is>
      </c>
      <c r="G130" t="inlineStr">
        <is>
          <t>STORFORS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46314</v>
      </c>
      <c r="F131" t="inlineStr">
        <is>
          <t>VÄRMLANDS LÄN</t>
        </is>
      </c>
      <c r="G131" t="inlineStr">
        <is>
          <t>STORFORS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46314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40058-2026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46293</v>
      </c>
      <c r="E133" s="1" t="n">
        <v>46314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12.5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46293</v>
      </c>
      <c r="E134" s="1" t="n">
        <v>46314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46290</v>
      </c>
      <c r="E135" s="1" t="n">
        <v>46314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40009-2026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46293</v>
      </c>
      <c r="E136" s="1" t="n">
        <v>46314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10.6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46293</v>
      </c>
      <c r="E137" s="1" t="n">
        <v>46314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46314</v>
      </c>
      <c r="F138" t="inlineStr">
        <is>
          <t>VÄRMLANDS LÄN</t>
        </is>
      </c>
      <c r="G138" t="inlineStr">
        <is>
          <t>STORFORS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46314</v>
      </c>
      <c r="F139" t="inlineStr">
        <is>
          <t>VÄRMLANDS LÄN</t>
        </is>
      </c>
      <c r="G139" t="inlineStr">
        <is>
          <t>STORFORS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46255</v>
      </c>
      <c r="E140" s="1" t="n">
        <v>46314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46314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46300</v>
      </c>
      <c r="E142" s="1" t="n">
        <v>46314</v>
      </c>
      <c r="F142" t="inlineStr">
        <is>
          <t>VÄRMLANDS LÄN</t>
        </is>
      </c>
      <c r="G142" t="inlineStr">
        <is>
          <t>STORFORS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46314</v>
      </c>
      <c r="F143" t="inlineStr">
        <is>
          <t>VÄRMLANDS LÄN</t>
        </is>
      </c>
      <c r="G143" t="inlineStr">
        <is>
          <t>STORFORS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46314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46314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46314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46314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46314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35321-2026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46261</v>
      </c>
      <c r="E149" s="1" t="n">
        <v>46314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46304</v>
      </c>
      <c r="E150" s="1" t="n">
        <v>46314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46314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46265</v>
      </c>
      <c r="E152" s="1" t="n">
        <v>46314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46314</v>
      </c>
      <c r="F153" t="inlineStr">
        <is>
          <t>VÄRMLANDS LÄN</t>
        </is>
      </c>
      <c r="G153" t="inlineStr">
        <is>
          <t>STORFORS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46268</v>
      </c>
      <c r="E154" s="1" t="n">
        <v>46314</v>
      </c>
      <c r="F154" t="inlineStr">
        <is>
          <t>VÄRMLANDS LÄN</t>
        </is>
      </c>
      <c r="G154" t="inlineStr">
        <is>
          <t>STORFORS</t>
        </is>
      </c>
      <c r="H154" t="inlineStr">
        <is>
          <t>Kyrkan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46268</v>
      </c>
      <c r="E155" s="1" t="n">
        <v>46314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46314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46314</v>
      </c>
      <c r="F157" t="inlineStr">
        <is>
          <t>VÄRMLANDS LÄN</t>
        </is>
      </c>
      <c r="G157" t="inlineStr">
        <is>
          <t>STORFORS</t>
        </is>
      </c>
      <c r="H157" t="inlineStr">
        <is>
          <t>Kyrkan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46314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33143-2025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46314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45875</v>
      </c>
      <c r="E160" s="1" t="n">
        <v>46314</v>
      </c>
      <c r="F160" t="inlineStr">
        <is>
          <t>VÄRMLANDS LÄN</t>
        </is>
      </c>
      <c r="G160" t="inlineStr">
        <is>
          <t>STORFORS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46314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46314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46314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46314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46314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2026-10-19T02:01:07Z</dcterms:created>
  <dcterms:modified xmlns:dcterms="http://purl.org/dc/terms/" xmlns:xsi="http://www.w3.org/2001/XMLSchema-instance" xsi:type="dcterms:W3CDTF">2026-10-19T02:01:07Z</dcterms:modified>
</cp:coreProperties>
</file>