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46130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46130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46130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46130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46130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55576-2025</t>
        </is>
      </c>
      <c r="B7" s="1" t="n">
        <v>45971.66637731482</v>
      </c>
      <c r="C7" s="1" t="n">
        <v>46130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8.4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HYPERLINK("https://klasma.github.io/Logging_1760/artfynd/A 55576-2025 artfynd.xlsx", "A 55576-2025")</f>
        <v/>
      </c>
      <c r="T7">
        <f>HYPERLINK("https://klasma.github.io/Logging_1760/kartor/A 55576-2025 karta.png", "A 55576-2025")</f>
        <v/>
      </c>
      <c r="V7">
        <f>HYPERLINK("https://klasma.github.io/Logging_1760/klagomål/A 55576-2025 FSC-klagomål.docx", "A 55576-2025")</f>
        <v/>
      </c>
      <c r="W7">
        <f>HYPERLINK("https://klasma.github.io/Logging_1760/klagomålsmail/A 55576-2025 FSC-klagomål mail.docx", "A 55576-2025")</f>
        <v/>
      </c>
      <c r="X7">
        <f>HYPERLINK("https://klasma.github.io/Logging_1760/tillsyn/A 55576-2025 tillsynsbegäran.docx", "A 55576-2025")</f>
        <v/>
      </c>
      <c r="Y7">
        <f>HYPERLINK("https://klasma.github.io/Logging_1760/tillsynsmail/A 55576-2025 tillsynsbegäran mail.docx", "A 55576-2025")</f>
        <v/>
      </c>
      <c r="Z7">
        <f>HYPERLINK("https://klasma.github.io/Logging_1760/fåglar/A 55576-2025 prioriterade fågelarter.docx", "A 55576-2025")</f>
        <v/>
      </c>
    </row>
    <row r="8" ht="15" customHeight="1">
      <c r="A8" t="inlineStr">
        <is>
          <t>A 33518-2025</t>
        </is>
      </c>
      <c r="B8" s="1" t="n">
        <v>45841.53921296296</v>
      </c>
      <c r="C8" s="1" t="n">
        <v>46130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33518-2025 artfynd.xlsx", "A 33518-2025")</f>
        <v/>
      </c>
      <c r="T8">
        <f>HYPERLINK("https://klasma.github.io/Logging_1760/kartor/A 33518-2025 karta.png", "A 33518-2025")</f>
        <v/>
      </c>
      <c r="V8">
        <f>HYPERLINK("https://klasma.github.io/Logging_1760/klagomål/A 33518-2025 FSC-klagomål.docx", "A 33518-2025")</f>
        <v/>
      </c>
      <c r="W8">
        <f>HYPERLINK("https://klasma.github.io/Logging_1760/klagomålsmail/A 33518-2025 FSC-klagomål mail.docx", "A 33518-2025")</f>
        <v/>
      </c>
      <c r="X8">
        <f>HYPERLINK("https://klasma.github.io/Logging_1760/tillsyn/A 33518-2025 tillsynsbegäran.docx", "A 33518-2025")</f>
        <v/>
      </c>
      <c r="Y8">
        <f>HYPERLINK("https://klasma.github.io/Logging_1760/tillsynsmail/A 33518-2025 tillsynsbegäran mail.docx", "A 33518-2025")</f>
        <v/>
      </c>
    </row>
    <row r="9" ht="15" customHeight="1">
      <c r="A9" t="inlineStr">
        <is>
          <t>A 46376-2023</t>
        </is>
      </c>
      <c r="B9" s="1" t="n">
        <v>45197.46416666666</v>
      </c>
      <c r="C9" s="1" t="n">
        <v>46130</v>
      </c>
      <c r="D9" t="inlineStr">
        <is>
          <t>VÄRMLANDS LÄN</t>
        </is>
      </c>
      <c r="E9" t="inlineStr">
        <is>
          <t>STORFORS</t>
        </is>
      </c>
      <c r="G9" t="n">
        <v>0.7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HYPERLINK("https://klasma.github.io/Logging_1760/artfynd/A 46376-2023 artfynd.xlsx", "A 46376-2023")</f>
        <v/>
      </c>
      <c r="T9">
        <f>HYPERLINK("https://klasma.github.io/Logging_1760/kartor/A 46376-2023 karta.png", "A 46376-2023")</f>
        <v/>
      </c>
      <c r="V9">
        <f>HYPERLINK("https://klasma.github.io/Logging_1760/klagomål/A 46376-2023 FSC-klagomål.docx", "A 46376-2023")</f>
        <v/>
      </c>
      <c r="W9">
        <f>HYPERLINK("https://klasma.github.io/Logging_1760/klagomålsmail/A 46376-2023 FSC-klagomål mail.docx", "A 46376-2023")</f>
        <v/>
      </c>
      <c r="X9">
        <f>HYPERLINK("https://klasma.github.io/Logging_1760/tillsyn/A 46376-2023 tillsynsbegäran.docx", "A 46376-2023")</f>
        <v/>
      </c>
      <c r="Y9">
        <f>HYPERLINK("https://klasma.github.io/Logging_1760/tillsynsmail/A 46376-2023 tillsynsbegäran mail.docx", "A 46376-2023")</f>
        <v/>
      </c>
    </row>
    <row r="10" ht="15" customHeight="1">
      <c r="A10" t="inlineStr">
        <is>
          <t>A 2540-2026</t>
        </is>
      </c>
      <c r="B10" s="1" t="n">
        <v>46037.45690972222</v>
      </c>
      <c r="C10" s="1" t="n">
        <v>46130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HYPERLINK("https://klasma.github.io/Logging_1760/artfynd/A 2540-2026 artfynd.xlsx", "A 2540-2026")</f>
        <v/>
      </c>
      <c r="T10">
        <f>HYPERLINK("https://klasma.github.io/Logging_1760/kartor/A 2540-2026 karta.png", "A 2540-2026")</f>
        <v/>
      </c>
      <c r="V10">
        <f>HYPERLINK("https://klasma.github.io/Logging_1760/klagomål/A 2540-2026 FSC-klagomål.docx", "A 2540-2026")</f>
        <v/>
      </c>
      <c r="W10">
        <f>HYPERLINK("https://klasma.github.io/Logging_1760/klagomålsmail/A 2540-2026 FSC-klagomål mail.docx", "A 2540-2026")</f>
        <v/>
      </c>
      <c r="X10">
        <f>HYPERLINK("https://klasma.github.io/Logging_1760/tillsyn/A 2540-2026 tillsynsbegäran.docx", "A 2540-2026")</f>
        <v/>
      </c>
      <c r="Y10">
        <f>HYPERLINK("https://klasma.github.io/Logging_1760/tillsynsmail/A 2540-2026 tillsynsbegäran mail.docx", "A 2540-2026")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46130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46130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46130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46130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46130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46130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46130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46130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46130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46130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19464-2021</t>
        </is>
      </c>
      <c r="B21" s="1" t="n">
        <v>44311</v>
      </c>
      <c r="C21" s="1" t="n">
        <v>46130</v>
      </c>
      <c r="D21" t="inlineStr">
        <is>
          <t>VÄRMLANDS LÄN</t>
        </is>
      </c>
      <c r="E21" t="inlineStr">
        <is>
          <t>STORFORS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53398-2021</t>
        </is>
      </c>
      <c r="B22" s="1" t="n">
        <v>44468</v>
      </c>
      <c r="C22" s="1" t="n">
        <v>46130</v>
      </c>
      <c r="D22" t="inlineStr">
        <is>
          <t>VÄRMLANDS LÄN</t>
        </is>
      </c>
      <c r="E22" t="inlineStr">
        <is>
          <t>STORFORS</t>
        </is>
      </c>
      <c r="F22" t="inlineStr">
        <is>
          <t>Naturvårdsverket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44802-2022</t>
        </is>
      </c>
      <c r="B23" s="1" t="n">
        <v>44841.37923611111</v>
      </c>
      <c r="C23" s="1" t="n">
        <v>46130</v>
      </c>
      <c r="D23" t="inlineStr">
        <is>
          <t>VÄRMLANDS LÄN</t>
        </is>
      </c>
      <c r="E23" t="inlineStr">
        <is>
          <t>STORFORS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46130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46130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46130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46130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23813-2021</t>
        </is>
      </c>
      <c r="B28" s="1" t="n">
        <v>44335.38092592593</v>
      </c>
      <c r="C28" s="1" t="n">
        <v>46130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46130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4998-2024</t>
        </is>
      </c>
      <c r="B30" s="1" t="n">
        <v>45329</v>
      </c>
      <c r="C30" s="1" t="n">
        <v>46130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46130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53912-2024</t>
        </is>
      </c>
      <c r="B32" s="1" t="n">
        <v>45615.72717592592</v>
      </c>
      <c r="C32" s="1" t="n">
        <v>46130</v>
      </c>
      <c r="D32" t="inlineStr">
        <is>
          <t>VÄRMLANDS LÄN</t>
        </is>
      </c>
      <c r="E32" t="inlineStr">
        <is>
          <t>STORFORS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35370-2023</t>
        </is>
      </c>
      <c r="B33" s="1" t="n">
        <v>45146</v>
      </c>
      <c r="C33" s="1" t="n">
        <v>46130</v>
      </c>
      <c r="D33" t="inlineStr">
        <is>
          <t>VÄRMLANDS LÄN</t>
        </is>
      </c>
      <c r="E33" t="inlineStr">
        <is>
          <t>STORFORS</t>
        </is>
      </c>
      <c r="F33" t="inlineStr">
        <is>
          <t>Kyrkan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14304-2024</t>
        </is>
      </c>
      <c r="B34" s="1" t="n">
        <v>45393.66023148148</v>
      </c>
      <c r="C34" s="1" t="n">
        <v>46130</v>
      </c>
      <c r="D34" t="inlineStr">
        <is>
          <t>VÄRMLANDS LÄN</t>
        </is>
      </c>
      <c r="E34" t="inlineStr">
        <is>
          <t>STORFORS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22341-2025</t>
        </is>
      </c>
      <c r="B35" s="1" t="n">
        <v>45786</v>
      </c>
      <c r="C35" s="1" t="n">
        <v>46130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34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33120-2025</t>
        </is>
      </c>
      <c r="B36" s="1" t="n">
        <v>45840.49384259259</v>
      </c>
      <c r="C36" s="1" t="n">
        <v>46130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3452-2025</t>
        </is>
      </c>
      <c r="B37" s="1" t="n">
        <v>45680.4753125</v>
      </c>
      <c r="C37" s="1" t="n">
        <v>46130</v>
      </c>
      <c r="D37" t="inlineStr">
        <is>
          <t>VÄRMLANDS LÄN</t>
        </is>
      </c>
      <c r="E37" t="inlineStr">
        <is>
          <t>STORFORS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26230-2024</t>
        </is>
      </c>
      <c r="B38" s="1" t="n">
        <v>45468</v>
      </c>
      <c r="C38" s="1" t="n">
        <v>46130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54221-2024</t>
        </is>
      </c>
      <c r="B39" s="1" t="n">
        <v>45616</v>
      </c>
      <c r="C39" s="1" t="n">
        <v>46130</v>
      </c>
      <c r="D39" t="inlineStr">
        <is>
          <t>VÄRMLANDS LÄN</t>
        </is>
      </c>
      <c r="E39" t="inlineStr">
        <is>
          <t>STORFORS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39625-2025</t>
        </is>
      </c>
      <c r="B40" s="1" t="n">
        <v>45890.57746527778</v>
      </c>
      <c r="C40" s="1" t="n">
        <v>46130</v>
      </c>
      <c r="D40" t="inlineStr">
        <is>
          <t>VÄRMLANDS LÄN</t>
        </is>
      </c>
      <c r="E40" t="inlineStr">
        <is>
          <t>STORFORS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49596-2024</t>
        </is>
      </c>
      <c r="B41" s="1" t="n">
        <v>45596.55828703703</v>
      </c>
      <c r="C41" s="1" t="n">
        <v>46130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39623-2025</t>
        </is>
      </c>
      <c r="B42" s="1" t="n">
        <v>45890.57476851852</v>
      </c>
      <c r="C42" s="1" t="n">
        <v>46130</v>
      </c>
      <c r="D42" t="inlineStr">
        <is>
          <t>VÄRMLANDS LÄN</t>
        </is>
      </c>
      <c r="E42" t="inlineStr">
        <is>
          <t>STORFORS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48591-2024</t>
        </is>
      </c>
      <c r="B43" s="1" t="n">
        <v>45593.43625</v>
      </c>
      <c r="C43" s="1" t="n">
        <v>46130</v>
      </c>
      <c r="D43" t="inlineStr">
        <is>
          <t>VÄRMLANDS LÄN</t>
        </is>
      </c>
      <c r="E43" t="inlineStr">
        <is>
          <t>STORFORS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33806-2024</t>
        </is>
      </c>
      <c r="B44" s="1" t="n">
        <v>45520.60313657407</v>
      </c>
      <c r="C44" s="1" t="n">
        <v>46130</v>
      </c>
      <c r="D44" t="inlineStr">
        <is>
          <t>VÄRMLANDS LÄN</t>
        </is>
      </c>
      <c r="E44" t="inlineStr">
        <is>
          <t>STORFORS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21111-2025</t>
        </is>
      </c>
      <c r="B45" s="1" t="n">
        <v>45777</v>
      </c>
      <c r="C45" s="1" t="n">
        <v>46130</v>
      </c>
      <c r="D45" t="inlineStr">
        <is>
          <t>VÄRMLANDS LÄN</t>
        </is>
      </c>
      <c r="E45" t="inlineStr">
        <is>
          <t>STORFORS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14605-2024</t>
        </is>
      </c>
      <c r="B46" s="1" t="n">
        <v>45396</v>
      </c>
      <c r="C46" s="1" t="n">
        <v>46130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38176-2024</t>
        </is>
      </c>
      <c r="B47" s="1" t="n">
        <v>45545</v>
      </c>
      <c r="C47" s="1" t="n">
        <v>46130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48309-2021</t>
        </is>
      </c>
      <c r="B48" s="1" t="n">
        <v>44450</v>
      </c>
      <c r="C48" s="1" t="n">
        <v>46130</v>
      </c>
      <c r="D48" t="inlineStr">
        <is>
          <t>VÄRMLANDS LÄN</t>
        </is>
      </c>
      <c r="E48" t="inlineStr">
        <is>
          <t>STORFORS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213-2025</t>
        </is>
      </c>
      <c r="B49" s="1" t="n">
        <v>45660</v>
      </c>
      <c r="C49" s="1" t="n">
        <v>46130</v>
      </c>
      <c r="D49" t="inlineStr">
        <is>
          <t>VÄRMLANDS LÄN</t>
        </is>
      </c>
      <c r="E49" t="inlineStr">
        <is>
          <t>STORFORS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1840-2023</t>
        </is>
      </c>
      <c r="B50" s="1" t="n">
        <v>44938.67890046296</v>
      </c>
      <c r="C50" s="1" t="n">
        <v>46130</v>
      </c>
      <c r="D50" t="inlineStr">
        <is>
          <t>VÄRMLANDS LÄN</t>
        </is>
      </c>
      <c r="E50" t="inlineStr">
        <is>
          <t>STORFORS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53205-2025</t>
        </is>
      </c>
      <c r="B51" s="1" t="n">
        <v>45958.5859375</v>
      </c>
      <c r="C51" s="1" t="n">
        <v>46130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52908-2025</t>
        </is>
      </c>
      <c r="B52" s="1" t="n">
        <v>45957</v>
      </c>
      <c r="C52" s="1" t="n">
        <v>46130</v>
      </c>
      <c r="D52" t="inlineStr">
        <is>
          <t>VÄRMLANDS LÄN</t>
        </is>
      </c>
      <c r="E52" t="inlineStr">
        <is>
          <t>STORFORS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24755-2025</t>
        </is>
      </c>
      <c r="B53" s="1" t="n">
        <v>45799.37452546296</v>
      </c>
      <c r="C53" s="1" t="n">
        <v>46130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25001-2025</t>
        </is>
      </c>
      <c r="B54" s="1" t="n">
        <v>45799.61962962963</v>
      </c>
      <c r="C54" s="1" t="n">
        <v>46130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21.6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24773-2025</t>
        </is>
      </c>
      <c r="B55" s="1" t="n">
        <v>45799.40483796296</v>
      </c>
      <c r="C55" s="1" t="n">
        <v>46130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24820-2025</t>
        </is>
      </c>
      <c r="B56" s="1" t="n">
        <v>45799.45188657408</v>
      </c>
      <c r="C56" s="1" t="n">
        <v>46130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24836-2025</t>
        </is>
      </c>
      <c r="B57" s="1" t="n">
        <v>45799.46241898148</v>
      </c>
      <c r="C57" s="1" t="n">
        <v>46130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24826-2025</t>
        </is>
      </c>
      <c r="B58" s="1" t="n">
        <v>45799.45670138889</v>
      </c>
      <c r="C58" s="1" t="n">
        <v>46130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42015-2025</t>
        </is>
      </c>
      <c r="B59" s="1" t="n">
        <v>45903.57980324074</v>
      </c>
      <c r="C59" s="1" t="n">
        <v>46130</v>
      </c>
      <c r="D59" t="inlineStr">
        <is>
          <t>VÄRMLANDS LÄN</t>
        </is>
      </c>
      <c r="E59" t="inlineStr">
        <is>
          <t>STORFORS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23279-2024</t>
        </is>
      </c>
      <c r="B60" s="1" t="n">
        <v>45453</v>
      </c>
      <c r="C60" s="1" t="n">
        <v>46130</v>
      </c>
      <c r="D60" t="inlineStr">
        <is>
          <t>VÄRMLANDS LÄN</t>
        </is>
      </c>
      <c r="E60" t="inlineStr">
        <is>
          <t>STORFORS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52905-2025</t>
        </is>
      </c>
      <c r="B61" s="1" t="n">
        <v>45957</v>
      </c>
      <c r="C61" s="1" t="n">
        <v>46130</v>
      </c>
      <c r="D61" t="inlineStr">
        <is>
          <t>VÄRMLANDS LÄN</t>
        </is>
      </c>
      <c r="E61" t="inlineStr">
        <is>
          <t>STORFORS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25720-2025</t>
        </is>
      </c>
      <c r="B62" s="1" t="n">
        <v>45803.70553240741</v>
      </c>
      <c r="C62" s="1" t="n">
        <v>46130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25723-2025</t>
        </is>
      </c>
      <c r="B63" s="1" t="n">
        <v>45803.7121412037</v>
      </c>
      <c r="C63" s="1" t="n">
        <v>46130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25727-2025</t>
        </is>
      </c>
      <c r="B64" s="1" t="n">
        <v>45803.71775462963</v>
      </c>
      <c r="C64" s="1" t="n">
        <v>46130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53217-2025</t>
        </is>
      </c>
      <c r="B65" s="1" t="n">
        <v>45958.59952546296</v>
      </c>
      <c r="C65" s="1" t="n">
        <v>46130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45260-2024</t>
        </is>
      </c>
      <c r="B66" s="1" t="n">
        <v>45576</v>
      </c>
      <c r="C66" s="1" t="n">
        <v>46130</v>
      </c>
      <c r="D66" t="inlineStr">
        <is>
          <t>VÄRMLANDS LÄN</t>
        </is>
      </c>
      <c r="E66" t="inlineStr">
        <is>
          <t>STORFORS</t>
        </is>
      </c>
      <c r="F66" t="inlineStr">
        <is>
          <t>Naturvårdsverket</t>
        </is>
      </c>
      <c r="G66" t="n">
        <v>16.3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2037-2023</t>
        </is>
      </c>
      <c r="B67" s="1" t="n">
        <v>44939.58351851852</v>
      </c>
      <c r="C67" s="1" t="n">
        <v>46130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53317-2025</t>
        </is>
      </c>
      <c r="B68" s="1" t="n">
        <v>45959.35413194444</v>
      </c>
      <c r="C68" s="1" t="n">
        <v>46130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52922-2025</t>
        </is>
      </c>
      <c r="B69" s="1" t="n">
        <v>45957</v>
      </c>
      <c r="C69" s="1" t="n">
        <v>46130</v>
      </c>
      <c r="D69" t="inlineStr">
        <is>
          <t>VÄRMLANDS LÄN</t>
        </is>
      </c>
      <c r="E69" t="inlineStr">
        <is>
          <t>STORFORS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53990-2025</t>
        </is>
      </c>
      <c r="B70" s="1" t="n">
        <v>45961.57934027778</v>
      </c>
      <c r="C70" s="1" t="n">
        <v>46130</v>
      </c>
      <c r="D70" t="inlineStr">
        <is>
          <t>VÄRMLANDS LÄN</t>
        </is>
      </c>
      <c r="E70" t="inlineStr">
        <is>
          <t>STORFORS</t>
        </is>
      </c>
      <c r="F70" t="inlineStr">
        <is>
          <t>Naturvårdsverket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44248-2025</t>
        </is>
      </c>
      <c r="B71" s="1" t="n">
        <v>45915.69100694444</v>
      </c>
      <c r="C71" s="1" t="n">
        <v>46130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57792-2022</t>
        </is>
      </c>
      <c r="B72" s="1" t="n">
        <v>44897.66182870371</v>
      </c>
      <c r="C72" s="1" t="n">
        <v>46130</v>
      </c>
      <c r="D72" t="inlineStr">
        <is>
          <t>VÄRMLANDS LÄN</t>
        </is>
      </c>
      <c r="E72" t="inlineStr">
        <is>
          <t>STORFORS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27388-2025</t>
        </is>
      </c>
      <c r="B73" s="1" t="n">
        <v>45812.67489583333</v>
      </c>
      <c r="C73" s="1" t="n">
        <v>46130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55234-2025</t>
        </is>
      </c>
      <c r="B74" s="1" t="n">
        <v>45968.61171296296</v>
      </c>
      <c r="C74" s="1" t="n">
        <v>46130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45479-2025</t>
        </is>
      </c>
      <c r="B75" s="1" t="n">
        <v>45922.53091435185</v>
      </c>
      <c r="C75" s="1" t="n">
        <v>46130</v>
      </c>
      <c r="D75" t="inlineStr">
        <is>
          <t>VÄRMLANDS LÄN</t>
        </is>
      </c>
      <c r="E75" t="inlineStr">
        <is>
          <t>STORFORS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28017-2025</t>
        </is>
      </c>
      <c r="B76" s="1" t="n">
        <v>45817.61508101852</v>
      </c>
      <c r="C76" s="1" t="n">
        <v>46130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28255-2025</t>
        </is>
      </c>
      <c r="B77" s="1" t="n">
        <v>45818.54848379629</v>
      </c>
      <c r="C77" s="1" t="n">
        <v>46130</v>
      </c>
      <c r="D77" t="inlineStr">
        <is>
          <t>VÄRMLANDS LÄN</t>
        </is>
      </c>
      <c r="E77" t="inlineStr">
        <is>
          <t>STORFORS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27092-2025</t>
        </is>
      </c>
      <c r="B78" s="1" t="n">
        <v>45811</v>
      </c>
      <c r="C78" s="1" t="n">
        <v>46130</v>
      </c>
      <c r="D78" t="inlineStr">
        <is>
          <t>VÄRMLANDS LÄN</t>
        </is>
      </c>
      <c r="E78" t="inlineStr">
        <is>
          <t>STORFORS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54190-2023</t>
        </is>
      </c>
      <c r="B79" s="1" t="n">
        <v>45232</v>
      </c>
      <c r="C79" s="1" t="n">
        <v>46130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46612-2025</t>
        </is>
      </c>
      <c r="B80" s="1" t="n">
        <v>45926</v>
      </c>
      <c r="C80" s="1" t="n">
        <v>46130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55818-2025</t>
        </is>
      </c>
      <c r="B81" s="1" t="n">
        <v>45972</v>
      </c>
      <c r="C81" s="1" t="n">
        <v>46130</v>
      </c>
      <c r="D81" t="inlineStr">
        <is>
          <t>VÄRMLANDS LÄN</t>
        </is>
      </c>
      <c r="E81" t="inlineStr">
        <is>
          <t>STORFORS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46860-2025</t>
        </is>
      </c>
      <c r="B82" s="1" t="n">
        <v>45929</v>
      </c>
      <c r="C82" s="1" t="n">
        <v>46130</v>
      </c>
      <c r="D82" t="inlineStr">
        <is>
          <t>VÄRMLANDS LÄN</t>
        </is>
      </c>
      <c r="E82" t="inlineStr">
        <is>
          <t>STORFORS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47713-2024</t>
        </is>
      </c>
      <c r="B83" s="1" t="n">
        <v>45588</v>
      </c>
      <c r="C83" s="1" t="n">
        <v>46130</v>
      </c>
      <c r="D83" t="inlineStr">
        <is>
          <t>VÄRMLANDS LÄN</t>
        </is>
      </c>
      <c r="E83" t="inlineStr">
        <is>
          <t>STORFORS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47732-2024</t>
        </is>
      </c>
      <c r="B84" s="1" t="n">
        <v>45588.50700231481</v>
      </c>
      <c r="C84" s="1" t="n">
        <v>46130</v>
      </c>
      <c r="D84" t="inlineStr">
        <is>
          <t>VÄRMLANDS LÄN</t>
        </is>
      </c>
      <c r="E84" t="inlineStr">
        <is>
          <t>STORFORS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56206-2025</t>
        </is>
      </c>
      <c r="B85" s="1" t="n">
        <v>45974.47096064815</v>
      </c>
      <c r="C85" s="1" t="n">
        <v>46130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53388-2024</t>
        </is>
      </c>
      <c r="B86" s="1" t="n">
        <v>45614</v>
      </c>
      <c r="C86" s="1" t="n">
        <v>46130</v>
      </c>
      <c r="D86" t="inlineStr">
        <is>
          <t>VÄRMLANDS LÄN</t>
        </is>
      </c>
      <c r="E86" t="inlineStr">
        <is>
          <t>STORFORS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39998-2023</t>
        </is>
      </c>
      <c r="B87" s="1" t="n">
        <v>45168</v>
      </c>
      <c r="C87" s="1" t="n">
        <v>46130</v>
      </c>
      <c r="D87" t="inlineStr">
        <is>
          <t>VÄRMLANDS LÄN</t>
        </is>
      </c>
      <c r="E87" t="inlineStr">
        <is>
          <t>STORFORS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8639-2025</t>
        </is>
      </c>
      <c r="B88" s="1" t="n">
        <v>45711.87692129629</v>
      </c>
      <c r="C88" s="1" t="n">
        <v>46130</v>
      </c>
      <c r="D88" t="inlineStr">
        <is>
          <t>VÄRMLANDS LÄN</t>
        </is>
      </c>
      <c r="E88" t="inlineStr">
        <is>
          <t>STORFORS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7948-2024</t>
        </is>
      </c>
      <c r="B89" s="1" t="n">
        <v>45350</v>
      </c>
      <c r="C89" s="1" t="n">
        <v>46130</v>
      </c>
      <c r="D89" t="inlineStr">
        <is>
          <t>VÄRMLANDS LÄN</t>
        </is>
      </c>
      <c r="E89" t="inlineStr">
        <is>
          <t>STORFORS</t>
        </is>
      </c>
      <c r="F89" t="inlineStr">
        <is>
          <t>Naturvårdsverket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28466-2022</t>
        </is>
      </c>
      <c r="B90" s="1" t="n">
        <v>44747.74182870371</v>
      </c>
      <c r="C90" s="1" t="n">
        <v>46130</v>
      </c>
      <c r="D90" t="inlineStr">
        <is>
          <t>VÄRMLANDS LÄN</t>
        </is>
      </c>
      <c r="E90" t="inlineStr">
        <is>
          <t>STORFORS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26189-2024</t>
        </is>
      </c>
      <c r="B91" s="1" t="n">
        <v>45468</v>
      </c>
      <c r="C91" s="1" t="n">
        <v>46130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20725-2023</t>
        </is>
      </c>
      <c r="B92" s="1" t="n">
        <v>45058.47887731482</v>
      </c>
      <c r="C92" s="1" t="n">
        <v>46130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56525-2025</t>
        </is>
      </c>
      <c r="B93" s="1" t="n">
        <v>45975.46569444444</v>
      </c>
      <c r="C93" s="1" t="n">
        <v>46130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25760-2025</t>
        </is>
      </c>
      <c r="B94" s="1" t="n">
        <v>45804</v>
      </c>
      <c r="C94" s="1" t="n">
        <v>46130</v>
      </c>
      <c r="D94" t="inlineStr">
        <is>
          <t>VÄRMLANDS LÄN</t>
        </is>
      </c>
      <c r="E94" t="inlineStr">
        <is>
          <t>STORFORS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2525-2025</t>
        </is>
      </c>
      <c r="B95" s="1" t="n">
        <v>45674.60668981481</v>
      </c>
      <c r="C95" s="1" t="n">
        <v>46130</v>
      </c>
      <c r="D95" t="inlineStr">
        <is>
          <t>VÄRMLANDS LÄN</t>
        </is>
      </c>
      <c r="E95" t="inlineStr">
        <is>
          <t>STORFORS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487-2023</t>
        </is>
      </c>
      <c r="B96" s="1" t="n">
        <v>44930.29883101852</v>
      </c>
      <c r="C96" s="1" t="n">
        <v>46130</v>
      </c>
      <c r="D96" t="inlineStr">
        <is>
          <t>VÄRMLANDS LÄN</t>
        </is>
      </c>
      <c r="E96" t="inlineStr">
        <is>
          <t>STORFORS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35430-2025</t>
        </is>
      </c>
      <c r="B97" s="1" t="n">
        <v>45855.4414699074</v>
      </c>
      <c r="C97" s="1" t="n">
        <v>46130</v>
      </c>
      <c r="D97" t="inlineStr">
        <is>
          <t>VÄRMLANDS LÄN</t>
        </is>
      </c>
      <c r="E97" t="inlineStr">
        <is>
          <t>STORFORS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8613-2024</t>
        </is>
      </c>
      <c r="B98" s="1" t="n">
        <v>45355</v>
      </c>
      <c r="C98" s="1" t="n">
        <v>46130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35431-2025</t>
        </is>
      </c>
      <c r="B99" s="1" t="n">
        <v>45855.44628472222</v>
      </c>
      <c r="C99" s="1" t="n">
        <v>46130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35427-2025</t>
        </is>
      </c>
      <c r="B100" s="1" t="n">
        <v>45855</v>
      </c>
      <c r="C100" s="1" t="n">
        <v>46130</v>
      </c>
      <c r="D100" t="inlineStr">
        <is>
          <t>VÄRMLANDS LÄN</t>
        </is>
      </c>
      <c r="E100" t="inlineStr">
        <is>
          <t>STORFORS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47894-2023</t>
        </is>
      </c>
      <c r="B101" s="1" t="n">
        <v>45204</v>
      </c>
      <c r="C101" s="1" t="n">
        <v>46130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33143-2025</t>
        </is>
      </c>
      <c r="B102" s="1" t="n">
        <v>45840.52465277778</v>
      </c>
      <c r="C102" s="1" t="n">
        <v>46130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57765-2025</t>
        </is>
      </c>
      <c r="B103" s="1" t="n">
        <v>45981.55736111111</v>
      </c>
      <c r="C103" s="1" t="n">
        <v>46130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19.8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62085-2024</t>
        </is>
      </c>
      <c r="B104" s="1" t="n">
        <v>45656</v>
      </c>
      <c r="C104" s="1" t="n">
        <v>46130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33273-2025</t>
        </is>
      </c>
      <c r="B105" s="1" t="n">
        <v>45840.68797453704</v>
      </c>
      <c r="C105" s="1" t="n">
        <v>46130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49101-2024</t>
        </is>
      </c>
      <c r="B106" s="1" t="n">
        <v>45594.64802083333</v>
      </c>
      <c r="C106" s="1" t="n">
        <v>46130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37145-2025</t>
        </is>
      </c>
      <c r="B107" s="1" t="n">
        <v>45875.56288194445</v>
      </c>
      <c r="C107" s="1" t="n">
        <v>46130</v>
      </c>
      <c r="D107" t="inlineStr">
        <is>
          <t>VÄRMLANDS LÄN</t>
        </is>
      </c>
      <c r="E107" t="inlineStr">
        <is>
          <t>STORFORS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58451-2025</t>
        </is>
      </c>
      <c r="B108" s="1" t="n">
        <v>45985.62826388889</v>
      </c>
      <c r="C108" s="1" t="n">
        <v>46130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30266-2025</t>
        </is>
      </c>
      <c r="B109" s="1" t="n">
        <v>45827</v>
      </c>
      <c r="C109" s="1" t="n">
        <v>46130</v>
      </c>
      <c r="D109" t="inlineStr">
        <is>
          <t>VÄRMLANDS LÄN</t>
        </is>
      </c>
      <c r="E109" t="inlineStr">
        <is>
          <t>STORFORS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37716-2025</t>
        </is>
      </c>
      <c r="B110" s="1" t="n">
        <v>45881</v>
      </c>
      <c r="C110" s="1" t="n">
        <v>46130</v>
      </c>
      <c r="D110" t="inlineStr">
        <is>
          <t>VÄRMLANDS LÄN</t>
        </is>
      </c>
      <c r="E110" t="inlineStr">
        <is>
          <t>STORFORS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60315-2025</t>
        </is>
      </c>
      <c r="B111" s="1" t="n">
        <v>45994.70884259259</v>
      </c>
      <c r="C111" s="1" t="n">
        <v>46130</v>
      </c>
      <c r="D111" t="inlineStr">
        <is>
          <t>VÄRMLANDS LÄN</t>
        </is>
      </c>
      <c r="E111" t="inlineStr">
        <is>
          <t>STORFORS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45154-2023</t>
        </is>
      </c>
      <c r="B112" s="1" t="n">
        <v>45191</v>
      </c>
      <c r="C112" s="1" t="n">
        <v>46130</v>
      </c>
      <c r="D112" t="inlineStr">
        <is>
          <t>VÄRMLANDS LÄN</t>
        </is>
      </c>
      <c r="E112" t="inlineStr">
        <is>
          <t>STORFORS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227-2025</t>
        </is>
      </c>
      <c r="B113" s="1" t="n">
        <v>45660</v>
      </c>
      <c r="C113" s="1" t="n">
        <v>46130</v>
      </c>
      <c r="D113" t="inlineStr">
        <is>
          <t>VÄRMLANDS LÄN</t>
        </is>
      </c>
      <c r="E113" t="inlineStr">
        <is>
          <t>STORFORS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38301-2025</t>
        </is>
      </c>
      <c r="B114" s="1" t="n">
        <v>45883.46224537037</v>
      </c>
      <c r="C114" s="1" t="n">
        <v>46130</v>
      </c>
      <c r="D114" t="inlineStr">
        <is>
          <t>VÄRMLANDS LÄN</t>
        </is>
      </c>
      <c r="E114" t="inlineStr">
        <is>
          <t>STORFORS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23808-2021</t>
        </is>
      </c>
      <c r="B115" s="1" t="n">
        <v>44335.37674768519</v>
      </c>
      <c r="C115" s="1" t="n">
        <v>46130</v>
      </c>
      <c r="D115" t="inlineStr">
        <is>
          <t>VÄRMLANDS LÄN</t>
        </is>
      </c>
      <c r="E115" t="inlineStr">
        <is>
          <t>STORFORS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60511-2025</t>
        </is>
      </c>
      <c r="B116" s="1" t="n">
        <v>45995.63336805555</v>
      </c>
      <c r="C116" s="1" t="n">
        <v>46130</v>
      </c>
      <c r="D116" t="inlineStr">
        <is>
          <t>VÄRMLANDS LÄN</t>
        </is>
      </c>
      <c r="E116" t="inlineStr">
        <is>
          <t>STORFORS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12482-2025</t>
        </is>
      </c>
      <c r="B117" s="1" t="n">
        <v>45730</v>
      </c>
      <c r="C117" s="1" t="n">
        <v>46130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61123-2025</t>
        </is>
      </c>
      <c r="B118" s="1" t="n">
        <v>46000.46875</v>
      </c>
      <c r="C118" s="1" t="n">
        <v>46130</v>
      </c>
      <c r="D118" t="inlineStr">
        <is>
          <t>VÄRMLANDS LÄN</t>
        </is>
      </c>
      <c r="E118" t="inlineStr">
        <is>
          <t>STORFORS</t>
        </is>
      </c>
      <c r="F118" t="inlineStr">
        <is>
          <t>Naturvårdsverket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61149-2025</t>
        </is>
      </c>
      <c r="B119" s="1" t="n">
        <v>46000.53810185185</v>
      </c>
      <c r="C119" s="1" t="n">
        <v>46130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12839-2025</t>
        </is>
      </c>
      <c r="B120" s="1" t="n">
        <v>45733.64366898148</v>
      </c>
      <c r="C120" s="1" t="n">
        <v>46130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18.2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61328-2025</t>
        </is>
      </c>
      <c r="B121" s="1" t="n">
        <v>46001.32983796296</v>
      </c>
      <c r="C121" s="1" t="n">
        <v>46130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16714-2025</t>
        </is>
      </c>
      <c r="B122" s="1" t="n">
        <v>45754</v>
      </c>
      <c r="C122" s="1" t="n">
        <v>46130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16359-2023</t>
        </is>
      </c>
      <c r="B123" s="1" t="n">
        <v>45028.72045138889</v>
      </c>
      <c r="C123" s="1" t="n">
        <v>46130</v>
      </c>
      <c r="D123" t="inlineStr">
        <is>
          <t>VÄRMLANDS LÄN</t>
        </is>
      </c>
      <c r="E123" t="inlineStr">
        <is>
          <t>STORFORS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47728-2023</t>
        </is>
      </c>
      <c r="B124" s="1" t="n">
        <v>45203.68487268518</v>
      </c>
      <c r="C124" s="1" t="n">
        <v>46130</v>
      </c>
      <c r="D124" t="inlineStr">
        <is>
          <t>VÄRMLANDS LÄN</t>
        </is>
      </c>
      <c r="E124" t="inlineStr">
        <is>
          <t>STORFORS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1431-2025</t>
        </is>
      </c>
      <c r="B125" s="1" t="n">
        <v>45669</v>
      </c>
      <c r="C125" s="1" t="n">
        <v>46130</v>
      </c>
      <c r="D125" t="inlineStr">
        <is>
          <t>VÄRMLANDS LÄN</t>
        </is>
      </c>
      <c r="E125" t="inlineStr">
        <is>
          <t>STORFORS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63469-2025</t>
        </is>
      </c>
      <c r="B126" s="1" t="n">
        <v>46013.43326388889</v>
      </c>
      <c r="C126" s="1" t="n">
        <v>46130</v>
      </c>
      <c r="D126" t="inlineStr">
        <is>
          <t>VÄRMLANDS LÄN</t>
        </is>
      </c>
      <c r="E126" t="inlineStr">
        <is>
          <t>STORFORS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63572-2025</t>
        </is>
      </c>
      <c r="B127" s="1" t="n">
        <v>46013.66006944444</v>
      </c>
      <c r="C127" s="1" t="n">
        <v>46130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63472-2025</t>
        </is>
      </c>
      <c r="B128" s="1" t="n">
        <v>46013.44269675926</v>
      </c>
      <c r="C128" s="1" t="n">
        <v>46130</v>
      </c>
      <c r="D128" t="inlineStr">
        <is>
          <t>VÄRMLANDS LÄN</t>
        </is>
      </c>
      <c r="E128" t="inlineStr">
        <is>
          <t>STORFORS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35350-2025</t>
        </is>
      </c>
      <c r="B129" s="1" t="n">
        <v>45854.63583333333</v>
      </c>
      <c r="C129" s="1" t="n">
        <v>46130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61129-2025</t>
        </is>
      </c>
      <c r="B130" s="1" t="n">
        <v>46000.48585648148</v>
      </c>
      <c r="C130" s="1" t="n">
        <v>46130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59466-2025</t>
        </is>
      </c>
      <c r="B131" s="1" t="n">
        <v>45989.58049768519</v>
      </c>
      <c r="C131" s="1" t="n">
        <v>46130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55787-2025</t>
        </is>
      </c>
      <c r="B132" s="1" t="n">
        <v>45972.64469907407</v>
      </c>
      <c r="C132" s="1" t="n">
        <v>46130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62987-2025</t>
        </is>
      </c>
      <c r="B133" s="1" t="n">
        <v>46009.4962037037</v>
      </c>
      <c r="C133" s="1" t="n">
        <v>46130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12252-2025</t>
        </is>
      </c>
      <c r="B134" s="1" t="n">
        <v>45729</v>
      </c>
      <c r="C134" s="1" t="n">
        <v>46130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63080-2025</t>
        </is>
      </c>
      <c r="B135" s="1" t="n">
        <v>46009.66688657407</v>
      </c>
      <c r="C135" s="1" t="n">
        <v>46130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44178-2025</t>
        </is>
      </c>
      <c r="B136" s="1" t="n">
        <v>45915.60693287037</v>
      </c>
      <c r="C136" s="1" t="n">
        <v>46130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59146-2025</t>
        </is>
      </c>
      <c r="B137" s="1" t="n">
        <v>45988.52269675926</v>
      </c>
      <c r="C137" s="1" t="n">
        <v>46130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49580-2025</t>
        </is>
      </c>
      <c r="B138" s="1" t="n">
        <v>45939.49743055556</v>
      </c>
      <c r="C138" s="1" t="n">
        <v>46130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49306-2024</t>
        </is>
      </c>
      <c r="B139" s="1" t="n">
        <v>45595</v>
      </c>
      <c r="C139" s="1" t="n">
        <v>46130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30587-2023</t>
        </is>
      </c>
      <c r="B140" s="1" t="n">
        <v>45112.33359953704</v>
      </c>
      <c r="C140" s="1" t="n">
        <v>46130</v>
      </c>
      <c r="D140" t="inlineStr">
        <is>
          <t>VÄRMLANDS LÄN</t>
        </is>
      </c>
      <c r="E140" t="inlineStr">
        <is>
          <t>STORFORS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25498-2023</t>
        </is>
      </c>
      <c r="B141" s="1" t="n">
        <v>45089.48630787037</v>
      </c>
      <c r="C141" s="1" t="n">
        <v>46130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70761-2021</t>
        </is>
      </c>
      <c r="B142" s="1" t="n">
        <v>44536</v>
      </c>
      <c r="C142" s="1" t="n">
        <v>46130</v>
      </c>
      <c r="D142" t="inlineStr">
        <is>
          <t>VÄRMLANDS LÄN</t>
        </is>
      </c>
      <c r="E142" t="inlineStr">
        <is>
          <t>STORFORS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36697-2023</t>
        </is>
      </c>
      <c r="B143" s="1" t="n">
        <v>45153.63313657408</v>
      </c>
      <c r="C143" s="1" t="n">
        <v>46130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29002-2023</t>
        </is>
      </c>
      <c r="B144" s="1" t="n">
        <v>45104.64762731481</v>
      </c>
      <c r="C144" s="1" t="n">
        <v>46130</v>
      </c>
      <c r="D144" t="inlineStr">
        <is>
          <t>VÄRMLANDS LÄN</t>
        </is>
      </c>
      <c r="E144" t="inlineStr">
        <is>
          <t>STORFORS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4868-2026</t>
        </is>
      </c>
      <c r="B145" s="1" t="n">
        <v>46048.6441550926</v>
      </c>
      <c r="C145" s="1" t="n">
        <v>46130</v>
      </c>
      <c r="D145" t="inlineStr">
        <is>
          <t>VÄRMLANDS LÄN</t>
        </is>
      </c>
      <c r="E145" t="inlineStr">
        <is>
          <t>STORFORS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58586-2024</t>
        </is>
      </c>
      <c r="B146" s="1" t="n">
        <v>45635.50215277778</v>
      </c>
      <c r="C146" s="1" t="n">
        <v>46130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4455-2026</t>
        </is>
      </c>
      <c r="B147" s="1" t="n">
        <v>46045.64204861111</v>
      </c>
      <c r="C147" s="1" t="n">
        <v>46130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21929-2023</t>
        </is>
      </c>
      <c r="B148" s="1" t="n">
        <v>45068</v>
      </c>
      <c r="C148" s="1" t="n">
        <v>46130</v>
      </c>
      <c r="D148" t="inlineStr">
        <is>
          <t>VÄRMLANDS LÄN</t>
        </is>
      </c>
      <c r="E148" t="inlineStr">
        <is>
          <t>STORFORS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15442-2024</t>
        </is>
      </c>
      <c r="B149" s="1" t="n">
        <v>45401.42217592592</v>
      </c>
      <c r="C149" s="1" t="n">
        <v>46130</v>
      </c>
      <c r="D149" t="inlineStr">
        <is>
          <t>VÄRMLANDS LÄN</t>
        </is>
      </c>
      <c r="E149" t="inlineStr">
        <is>
          <t>STORFORS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61586-2025</t>
        </is>
      </c>
      <c r="B150" s="1" t="n">
        <v>46002</v>
      </c>
      <c r="C150" s="1" t="n">
        <v>46130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13185-2026</t>
        </is>
      </c>
      <c r="B151" s="1" t="n">
        <v>46093.59226851852</v>
      </c>
      <c r="C151" s="1" t="n">
        <v>46130</v>
      </c>
      <c r="D151" t="inlineStr">
        <is>
          <t>VÄRMLANDS LÄN</t>
        </is>
      </c>
      <c r="E151" t="inlineStr">
        <is>
          <t>STORFORS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45271-2024</t>
        </is>
      </c>
      <c r="B152" s="1" t="n">
        <v>45576</v>
      </c>
      <c r="C152" s="1" t="n">
        <v>46130</v>
      </c>
      <c r="D152" t="inlineStr">
        <is>
          <t>VÄRMLANDS LÄN</t>
        </is>
      </c>
      <c r="E152" t="inlineStr">
        <is>
          <t>STORFORS</t>
        </is>
      </c>
      <c r="F152" t="inlineStr">
        <is>
          <t>Naturvårdsverket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13960-2026</t>
        </is>
      </c>
      <c r="B153" s="1" t="n">
        <v>46098.56423611111</v>
      </c>
      <c r="C153" s="1" t="n">
        <v>46130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7028-2026</t>
        </is>
      </c>
      <c r="B154" s="1" t="n">
        <v>46057.67555555556</v>
      </c>
      <c r="C154" s="1" t="n">
        <v>46130</v>
      </c>
      <c r="D154" t="inlineStr">
        <is>
          <t>VÄRMLANDS LÄN</t>
        </is>
      </c>
      <c r="E154" t="inlineStr">
        <is>
          <t>STORFORS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12824-2025</t>
        </is>
      </c>
      <c r="B155" s="1" t="n">
        <v>45733</v>
      </c>
      <c r="C155" s="1" t="n">
        <v>46130</v>
      </c>
      <c r="D155" t="inlineStr">
        <is>
          <t>VÄRMLANDS LÄN</t>
        </is>
      </c>
      <c r="E155" t="inlineStr">
        <is>
          <t>STORFORS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6856-2025</t>
        </is>
      </c>
      <c r="B156" s="1" t="n">
        <v>45700</v>
      </c>
      <c r="C156" s="1" t="n">
        <v>46130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14435-2026</t>
        </is>
      </c>
      <c r="B157" s="1" t="n">
        <v>46100.48894675926</v>
      </c>
      <c r="C157" s="1" t="n">
        <v>46130</v>
      </c>
      <c r="D157" t="inlineStr">
        <is>
          <t>VÄRMLANDS LÄN</t>
        </is>
      </c>
      <c r="E157" t="inlineStr">
        <is>
          <t>STORFORS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3721-2025</t>
        </is>
      </c>
      <c r="B158" s="1" t="n">
        <v>45681</v>
      </c>
      <c r="C158" s="1" t="n">
        <v>46130</v>
      </c>
      <c r="D158" t="inlineStr">
        <is>
          <t>VÄRMLANDS LÄN</t>
        </is>
      </c>
      <c r="E158" t="inlineStr">
        <is>
          <t>STORFORS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22935-2023</t>
        </is>
      </c>
      <c r="B159" s="1" t="n">
        <v>45072.60810185185</v>
      </c>
      <c r="C159" s="1" t="n">
        <v>46130</v>
      </c>
      <c r="D159" t="inlineStr">
        <is>
          <t>VÄRMLANDS LÄN</t>
        </is>
      </c>
      <c r="E159" t="inlineStr">
        <is>
          <t>STORFORS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53353-2024</t>
        </is>
      </c>
      <c r="B160" s="1" t="n">
        <v>45614.45392361111</v>
      </c>
      <c r="C160" s="1" t="n">
        <v>46130</v>
      </c>
      <c r="D160" t="inlineStr">
        <is>
          <t>VÄRMLANDS LÄN</t>
        </is>
      </c>
      <c r="E160" t="inlineStr">
        <is>
          <t>STORFORS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7427-2026</t>
        </is>
      </c>
      <c r="B161" s="1" t="n">
        <v>46059.43177083333</v>
      </c>
      <c r="C161" s="1" t="n">
        <v>46130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7444-2026</t>
        </is>
      </c>
      <c r="B162" s="1" t="n">
        <v>46059.45729166667</v>
      </c>
      <c r="C162" s="1" t="n">
        <v>46130</v>
      </c>
      <c r="D162" t="inlineStr">
        <is>
          <t>VÄRMLANDS LÄN</t>
        </is>
      </c>
      <c r="E162" t="inlineStr">
        <is>
          <t>STORFORS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7447-2026</t>
        </is>
      </c>
      <c r="B163" s="1" t="n">
        <v>46059.46265046296</v>
      </c>
      <c r="C163" s="1" t="n">
        <v>46130</v>
      </c>
      <c r="D163" t="inlineStr">
        <is>
          <t>VÄRMLANDS LÄN</t>
        </is>
      </c>
      <c r="E163" t="inlineStr">
        <is>
          <t>STORFORS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49311-2024</t>
        </is>
      </c>
      <c r="B164" s="1" t="n">
        <v>45595</v>
      </c>
      <c r="C164" s="1" t="n">
        <v>46130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12132-2025</t>
        </is>
      </c>
      <c r="B165" s="1" t="n">
        <v>45729</v>
      </c>
      <c r="C165" s="1" t="n">
        <v>46130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47624-2023</t>
        </is>
      </c>
      <c r="B166" s="1" t="n">
        <v>45203.51826388889</v>
      </c>
      <c r="C166" s="1" t="n">
        <v>46130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8269-2025</t>
        </is>
      </c>
      <c r="B167" s="1" t="n">
        <v>45708</v>
      </c>
      <c r="C167" s="1" t="n">
        <v>46130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41479-2024</t>
        </is>
      </c>
      <c r="B168" s="1" t="n">
        <v>45560</v>
      </c>
      <c r="C168" s="1" t="n">
        <v>46130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3455-2025</t>
        </is>
      </c>
      <c r="B169" s="1" t="n">
        <v>45680.47734953704</v>
      </c>
      <c r="C169" s="1" t="n">
        <v>46130</v>
      </c>
      <c r="D169" t="inlineStr">
        <is>
          <t>VÄRMLANDS LÄN</t>
        </is>
      </c>
      <c r="E169" t="inlineStr">
        <is>
          <t>STORFORS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4494-2025</t>
        </is>
      </c>
      <c r="B170" s="1" t="n">
        <v>45686</v>
      </c>
      <c r="C170" s="1" t="n">
        <v>46130</v>
      </c>
      <c r="D170" t="inlineStr">
        <is>
          <t>VÄRMLANDS LÄN</t>
        </is>
      </c>
      <c r="E170" t="inlineStr">
        <is>
          <t>STORFORS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54738-2023</t>
        </is>
      </c>
      <c r="B171" s="1" t="n">
        <v>45236</v>
      </c>
      <c r="C171" s="1" t="n">
        <v>46130</v>
      </c>
      <c r="D171" t="inlineStr">
        <is>
          <t>VÄRMLANDS LÄN</t>
        </is>
      </c>
      <c r="E171" t="inlineStr">
        <is>
          <t>STORFORS</t>
        </is>
      </c>
      <c r="F171" t="inlineStr">
        <is>
          <t>Naturvårdsverket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16421-2026</t>
        </is>
      </c>
      <c r="B172" s="1" t="n">
        <v>46111.67331018519</v>
      </c>
      <c r="C172" s="1" t="n">
        <v>46130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41325-2023</t>
        </is>
      </c>
      <c r="B173" s="1" t="n">
        <v>45174.65024305556</v>
      </c>
      <c r="C173" s="1" t="n">
        <v>46130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5881-2025</t>
        </is>
      </c>
      <c r="B174" s="1" t="n">
        <v>45695</v>
      </c>
      <c r="C174" s="1" t="n">
        <v>46130</v>
      </c>
      <c r="D174" t="inlineStr">
        <is>
          <t>VÄRMLANDS LÄN</t>
        </is>
      </c>
      <c r="E174" t="inlineStr">
        <is>
          <t>STORFORS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16645-2025</t>
        </is>
      </c>
      <c r="B175" s="1" t="n">
        <v>45754</v>
      </c>
      <c r="C175" s="1" t="n">
        <v>46130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53202-2023</t>
        </is>
      </c>
      <c r="B176" s="1" t="n">
        <v>45229</v>
      </c>
      <c r="C176" s="1" t="n">
        <v>46130</v>
      </c>
      <c r="D176" t="inlineStr">
        <is>
          <t>VÄRMLANDS LÄN</t>
        </is>
      </c>
      <c r="E176" t="inlineStr">
        <is>
          <t>STORFORS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26201-2024</t>
        </is>
      </c>
      <c r="B177" s="1" t="n">
        <v>45468</v>
      </c>
      <c r="C177" s="1" t="n">
        <v>46130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11290-2025</t>
        </is>
      </c>
      <c r="B178" s="1" t="n">
        <v>45726.4278587963</v>
      </c>
      <c r="C178" s="1" t="n">
        <v>46130</v>
      </c>
      <c r="D178" t="inlineStr">
        <is>
          <t>VÄRMLANDS LÄN</t>
        </is>
      </c>
      <c r="E178" t="inlineStr">
        <is>
          <t>STORFORS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52834-2023</t>
        </is>
      </c>
      <c r="B179" s="1" t="n">
        <v>45226.41116898148</v>
      </c>
      <c r="C179" s="1" t="n">
        <v>46130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11452-2024</t>
        </is>
      </c>
      <c r="B180" s="1" t="n">
        <v>45372</v>
      </c>
      <c r="C180" s="1" t="n">
        <v>46130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18757-2026</t>
        </is>
      </c>
      <c r="B181" s="1" t="n">
        <v>46128.56060185185</v>
      </c>
      <c r="C181" s="1" t="n">
        <v>46130</v>
      </c>
      <c r="D181" t="inlineStr">
        <is>
          <t>VÄRMLANDS LÄN</t>
        </is>
      </c>
      <c r="E181" t="inlineStr">
        <is>
          <t>STORFORS</t>
        </is>
      </c>
      <c r="F181" t="inlineStr">
        <is>
          <t>Naturvårdsverket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15997-2025</t>
        </is>
      </c>
      <c r="B182" s="1" t="n">
        <v>45749</v>
      </c>
      <c r="C182" s="1" t="n">
        <v>46130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17756-2023</t>
        </is>
      </c>
      <c r="B183" s="1" t="n">
        <v>45037.4796412037</v>
      </c>
      <c r="C183" s="1" t="n">
        <v>46130</v>
      </c>
      <c r="D183" t="inlineStr">
        <is>
          <t>VÄRMLANDS LÄN</t>
        </is>
      </c>
      <c r="E183" t="inlineStr">
        <is>
          <t>STORFORS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28467-2022</t>
        </is>
      </c>
      <c r="B184" s="1" t="n">
        <v>44747.74592592593</v>
      </c>
      <c r="C184" s="1" t="n">
        <v>46130</v>
      </c>
      <c r="D184" t="inlineStr">
        <is>
          <t>VÄRMLANDS LÄN</t>
        </is>
      </c>
      <c r="E184" t="inlineStr">
        <is>
          <t>STORFORS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7072-2023</t>
        </is>
      </c>
      <c r="B185" s="1" t="n">
        <v>44969.95028935185</v>
      </c>
      <c r="C185" s="1" t="n">
        <v>46130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57981-2022</t>
        </is>
      </c>
      <c r="B186" s="1" t="n">
        <v>44900.47692129629</v>
      </c>
      <c r="C186" s="1" t="n">
        <v>46130</v>
      </c>
      <c r="D186" t="inlineStr">
        <is>
          <t>VÄRMLANDS LÄN</t>
        </is>
      </c>
      <c r="E186" t="inlineStr">
        <is>
          <t>STORFORS</t>
        </is>
      </c>
      <c r="F186" t="inlineStr">
        <is>
          <t>Naturvårdsverket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12819-2025</t>
        </is>
      </c>
      <c r="B187" s="1" t="n">
        <v>45733</v>
      </c>
      <c r="C187" s="1" t="n">
        <v>46130</v>
      </c>
      <c r="D187" t="inlineStr">
        <is>
          <t>VÄRMLANDS LÄN</t>
        </is>
      </c>
      <c r="E187" t="inlineStr">
        <is>
          <t>STORFORS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24846-2022</t>
        </is>
      </c>
      <c r="B188" s="1" t="n">
        <v>44728</v>
      </c>
      <c r="C188" s="1" t="n">
        <v>46130</v>
      </c>
      <c r="D188" t="inlineStr">
        <is>
          <t>VÄRMLANDS LÄN</t>
        </is>
      </c>
      <c r="E188" t="inlineStr">
        <is>
          <t>STORFORS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2342-2023</t>
        </is>
      </c>
      <c r="B189" s="1" t="n">
        <v>44938</v>
      </c>
      <c r="C189" s="1" t="n">
        <v>46130</v>
      </c>
      <c r="D189" t="inlineStr">
        <is>
          <t>VÄRMLANDS LÄN</t>
        </is>
      </c>
      <c r="E189" t="inlineStr">
        <is>
          <t>STORFORS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2363-2023</t>
        </is>
      </c>
      <c r="B190" s="1" t="n">
        <v>44938</v>
      </c>
      <c r="C190" s="1" t="n">
        <v>46130</v>
      </c>
      <c r="D190" t="inlineStr">
        <is>
          <t>VÄRMLANDS LÄN</t>
        </is>
      </c>
      <c r="E190" t="inlineStr">
        <is>
          <t>STORFORS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57209-2022</t>
        </is>
      </c>
      <c r="B191" s="1" t="n">
        <v>44895.64663194444</v>
      </c>
      <c r="C191" s="1" t="n">
        <v>46130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13795-2023</t>
        </is>
      </c>
      <c r="B192" s="1" t="n">
        <v>45007</v>
      </c>
      <c r="C192" s="1" t="n">
        <v>46130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19324-2022</t>
        </is>
      </c>
      <c r="B193" s="1" t="n">
        <v>44692.5990625</v>
      </c>
      <c r="C193" s="1" t="n">
        <v>46130</v>
      </c>
      <c r="D193" t="inlineStr">
        <is>
          <t>VÄRMLANDS LÄN</t>
        </is>
      </c>
      <c r="E193" t="inlineStr">
        <is>
          <t>STORFORS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58125-2022</t>
        </is>
      </c>
      <c r="B194" s="1" t="n">
        <v>44900.67206018518</v>
      </c>
      <c r="C194" s="1" t="n">
        <v>46130</v>
      </c>
      <c r="D194" t="inlineStr">
        <is>
          <t>VÄRMLANDS LÄN</t>
        </is>
      </c>
      <c r="E194" t="inlineStr">
        <is>
          <t>STORFORS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59449-2022</t>
        </is>
      </c>
      <c r="B195" s="1" t="n">
        <v>44907.40783564815</v>
      </c>
      <c r="C195" s="1" t="n">
        <v>46130</v>
      </c>
      <c r="D195" t="inlineStr">
        <is>
          <t>VÄRMLANDS LÄN</t>
        </is>
      </c>
      <c r="E195" t="inlineStr">
        <is>
          <t>STORFORS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13636-2024</t>
        </is>
      </c>
      <c r="B196" s="1" t="n">
        <v>45390</v>
      </c>
      <c r="C196" s="1" t="n">
        <v>46130</v>
      </c>
      <c r="D196" t="inlineStr">
        <is>
          <t>VÄRMLANDS LÄN</t>
        </is>
      </c>
      <c r="E196" t="inlineStr">
        <is>
          <t>STORFORS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20085-2025</t>
        </is>
      </c>
      <c r="B197" s="1" t="n">
        <v>45772</v>
      </c>
      <c r="C197" s="1" t="n">
        <v>46130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15152-2022</t>
        </is>
      </c>
      <c r="B198" s="1" t="n">
        <v>44658.46916666667</v>
      </c>
      <c r="C198" s="1" t="n">
        <v>46130</v>
      </c>
      <c r="D198" t="inlineStr">
        <is>
          <t>VÄRMLANDS LÄN</t>
        </is>
      </c>
      <c r="E198" t="inlineStr">
        <is>
          <t>STORFORS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2352-2023</t>
        </is>
      </c>
      <c r="B199" s="1" t="n">
        <v>44938</v>
      </c>
      <c r="C199" s="1" t="n">
        <v>46130</v>
      </c>
      <c r="D199" t="inlineStr">
        <is>
          <t>VÄRMLANDS LÄN</t>
        </is>
      </c>
      <c r="E199" t="inlineStr">
        <is>
          <t>STORFORS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41214-2023</t>
        </is>
      </c>
      <c r="B200" s="1" t="n">
        <v>45174</v>
      </c>
      <c r="C200" s="1" t="n">
        <v>46130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51.6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46130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22063-2021</t>
        </is>
      </c>
      <c r="B202" s="1" t="n">
        <v>44323</v>
      </c>
      <c r="C202" s="1" t="n">
        <v>46130</v>
      </c>
      <c r="D202" t="inlineStr">
        <is>
          <t>VÄRMLANDS LÄN</t>
        </is>
      </c>
      <c r="E202" t="inlineStr">
        <is>
          <t>STORFORS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21942-2024</t>
        </is>
      </c>
      <c r="B203" s="1" t="n">
        <v>45443</v>
      </c>
      <c r="C203" s="1" t="n">
        <v>46130</v>
      </c>
      <c r="D203" t="inlineStr">
        <is>
          <t>VÄRMLANDS LÄN</t>
        </is>
      </c>
      <c r="E203" t="inlineStr">
        <is>
          <t>STORFORS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62001-2024</t>
        </is>
      </c>
      <c r="B204" s="1" t="n">
        <v>45654</v>
      </c>
      <c r="C204" s="1" t="n">
        <v>46130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62069-2024</t>
        </is>
      </c>
      <c r="B205" s="1" t="n">
        <v>45656</v>
      </c>
      <c r="C205" s="1" t="n">
        <v>46130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13288-2024</t>
        </is>
      </c>
      <c r="B206" s="1" t="n">
        <v>45386</v>
      </c>
      <c r="C206" s="1" t="n">
        <v>46130</v>
      </c>
      <c r="D206" t="inlineStr">
        <is>
          <t>VÄRMLANDS LÄN</t>
        </is>
      </c>
      <c r="E206" t="inlineStr">
        <is>
          <t>STORFORS</t>
        </is>
      </c>
      <c r="F206" t="inlineStr">
        <is>
          <t>Kyrkan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2026-04-18T10:25:43Z</dcterms:created>
  <dcterms:modified xmlns:dcterms="http://purl.org/dc/terms/" xmlns:xsi="http://www.w3.org/2001/XMLSchema-instance" xsi:type="dcterms:W3CDTF">2026-04-18T10:25:44Z</dcterms:modified>
</cp:coreProperties>
</file>