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46320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46320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31441-2026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46220</v>
      </c>
      <c r="E4" s="1" t="n">
        <v>46320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4.8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Talltita
Gråsiska</t>
        </is>
      </c>
      <c r="W4">
        <f>HYPERLINK("https://klasma.github.io/Logging_1760/artfynd/A 31441-2026 artfynd.xlsx", "A 31441-2026")</f>
        <v/>
      </c>
      <c r="X4">
        <f>HYPERLINK("https://klasma.github.io/Logging_1760/kartor/A 31441-2026 karta.png", "A 31441-2026")</f>
        <v/>
      </c>
      <c r="Y4">
        <f>HYPERLINK("https://klasma.github.io/Logging_1760/kartor_geotiff/A 31441-2026 georefererad karta.tif", "A 31441-2026")</f>
        <v/>
      </c>
      <c r="AA4">
        <f>HYPERLINK("https://klasma.github.io/Logging_1760/klagomål/A 31441-2026 FSC-klagomål.docx", "A 31441-2026")</f>
        <v/>
      </c>
      <c r="AB4">
        <f>HYPERLINK("https://klasma.github.io/Logging_1760/klagomålsmail/A 31441-2026 FSC-klagomål mail.docx", "A 31441-2026")</f>
        <v/>
      </c>
      <c r="AC4">
        <f>HYPERLINK("https://klasma.github.io/Logging_1760/tillsyn/A 31441-2026 tillsynsbegäran.docx", "A 31441-2026")</f>
        <v/>
      </c>
      <c r="AD4">
        <f>HYPERLINK("https://klasma.github.io/Logging_1760/tillsynsmail/A 31441-2026 tillsynsbegäran mail.docx", "A 31441-2026")</f>
        <v/>
      </c>
      <c r="AE4">
        <f>HYPERLINK("https://klasma.github.io/Logging_1760/fåglar/A 31441-2026 prioriterade fågelarter.docx", "A 31441-2026")</f>
        <v/>
      </c>
    </row>
    <row r="5" ht="15" customHeight="1">
      <c r="A5" t="inlineStr">
        <is>
          <t>A 37716-2025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45881</v>
      </c>
      <c r="E5" s="1" t="n">
        <v>46320</v>
      </c>
      <c r="F5" t="inlineStr">
        <is>
          <t>VÄRMLANDS LÄN</t>
        </is>
      </c>
      <c r="G5" t="inlineStr">
        <is>
          <t>STORFORS</t>
        </is>
      </c>
      <c r="I5" t="n">
        <v>4.5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Kattfotslav
Ullticka</t>
        </is>
      </c>
      <c r="W5">
        <f>HYPERLINK("https://klasma.github.io/Logging_1760/artfynd/A 37716-2025 artfynd.xlsx", "A 37716-2025")</f>
        <v/>
      </c>
      <c r="X5">
        <f>HYPERLINK("https://klasma.github.io/Logging_1760/kartor/A 37716-2025 karta.png", "A 37716-2025")</f>
        <v/>
      </c>
      <c r="Y5">
        <f>HYPERLINK("https://klasma.github.io/Logging_1760/kartor_geotiff/A 37716-2025 georefererad karta.tif", "A 37716-2025")</f>
        <v/>
      </c>
      <c r="AA5">
        <f>HYPERLINK("https://klasma.github.io/Logging_1760/klagomål/A 37716-2025 FSC-klagomål.docx", "A 37716-2025")</f>
        <v/>
      </c>
      <c r="AB5">
        <f>HYPERLINK("https://klasma.github.io/Logging_1760/klagomålsmail/A 37716-2025 FSC-klagomål mail.docx", "A 37716-2025")</f>
        <v/>
      </c>
      <c r="AC5">
        <f>HYPERLINK("https://klasma.github.io/Logging_1760/tillsyn/A 37716-2025 tillsynsbegäran.docx", "A 37716-2025")</f>
        <v/>
      </c>
      <c r="AD5">
        <f>HYPERLINK("https://klasma.github.io/Logging_1760/tillsynsmail/A 37716-2025 tillsynsbegäran mail.docx", "A 37716-2025")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46320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43407-2022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44834</v>
      </c>
      <c r="E7" s="1" t="n">
        <v>46320</v>
      </c>
      <c r="F7" t="inlineStr">
        <is>
          <t>VÄRMLANDS LÄN</t>
        </is>
      </c>
      <c r="G7" t="inlineStr">
        <is>
          <t>STORFORS</t>
        </is>
      </c>
      <c r="H7" t="inlineStr">
        <is>
          <t>Bergvik skog väst AB</t>
        </is>
      </c>
      <c r="I7" t="n">
        <v>7.1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Orre</t>
        </is>
      </c>
      <c r="W7">
        <f>HYPERLINK("https://klasma.github.io/Logging_1760/artfynd/A 43407-2022 artfynd.xlsx", "A 43407-2022")</f>
        <v/>
      </c>
      <c r="X7">
        <f>HYPERLINK("https://klasma.github.io/Logging_1760/kartor/A 43407-2022 karta.png", "A 43407-2022")</f>
        <v/>
      </c>
      <c r="Y7">
        <f>HYPERLINK("https://klasma.github.io/Logging_1760/kartor_geotiff/A 43407-2022 georefererad karta.tif", "A 43407-2022")</f>
        <v/>
      </c>
      <c r="AA7">
        <f>HYPERLINK("https://klasma.github.io/Logging_1760/klagomål/A 43407-2022 FSC-klagomål.docx", "A 43407-2022")</f>
        <v/>
      </c>
      <c r="AB7">
        <f>HYPERLINK("https://klasma.github.io/Logging_1760/klagomålsmail/A 43407-2022 FSC-klagomål mail.docx", "A 43407-2022")</f>
        <v/>
      </c>
      <c r="AC7">
        <f>HYPERLINK("https://klasma.github.io/Logging_1760/tillsyn/A 43407-2022 tillsynsbegäran.docx", "A 43407-2022")</f>
        <v/>
      </c>
      <c r="AD7">
        <f>HYPERLINK("https://klasma.github.io/Logging_1760/tillsynsmail/A 43407-2022 tillsynsbegäran mail.docx", "A 43407-2022")</f>
        <v/>
      </c>
      <c r="AE7">
        <f>HYPERLINK("https://klasma.github.io/Logging_1760/fåglar/A 43407-2022 prioriterade fågelarter.docx", "A 43407-2022")</f>
        <v/>
      </c>
    </row>
    <row r="8" ht="15" customHeight="1">
      <c r="A8" t="inlineStr">
        <is>
          <t>A 21111-2025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45777</v>
      </c>
      <c r="E8" s="1" t="n">
        <v>46320</v>
      </c>
      <c r="F8" t="inlineStr">
        <is>
          <t>VÄRMLANDS LÄN</t>
        </is>
      </c>
      <c r="G8" t="inlineStr">
        <is>
          <t>STORFORS</t>
        </is>
      </c>
      <c r="I8" t="n">
        <v>1.9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Korallblylav</t>
        </is>
      </c>
      <c r="W8">
        <f>HYPERLINK("https://klasma.github.io/Logging_1760/artfynd/A 21111-2025 artfynd.xlsx", "A 21111-2025")</f>
        <v/>
      </c>
      <c r="X8">
        <f>HYPERLINK("https://klasma.github.io/Logging_1760/kartor/A 21111-2025 karta.png", "A 21111-2025")</f>
        <v/>
      </c>
      <c r="Y8">
        <f>HYPERLINK("https://klasma.github.io/Logging_1760/kartor_geotiff/A 21111-2025 georefererad karta.tif", "A 21111-2025")</f>
        <v/>
      </c>
      <c r="AA8">
        <f>HYPERLINK("https://klasma.github.io/Logging_1760/klagomål/A 21111-2025 FSC-klagomål.docx", "A 21111-2025")</f>
        <v/>
      </c>
      <c r="AB8">
        <f>HYPERLINK("https://klasma.github.io/Logging_1760/klagomålsmail/A 21111-2025 FSC-klagomål mail.docx", "A 21111-2025")</f>
        <v/>
      </c>
      <c r="AC8">
        <f>HYPERLINK("https://klasma.github.io/Logging_1760/tillsyn/A 21111-2025 tillsynsbegäran.docx", "A 21111-2025")</f>
        <v/>
      </c>
      <c r="AD8">
        <f>HYPERLINK("https://klasma.github.io/Logging_1760/tillsynsmail/A 21111-2025 tillsynsbegäran mail.docx", "A 21111-2025")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46320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46376-2023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45197</v>
      </c>
      <c r="E10" s="1" t="n">
        <v>46320</v>
      </c>
      <c r="F10" t="inlineStr">
        <is>
          <t>VÄRMLANDS LÄN</t>
        </is>
      </c>
      <c r="G10" t="inlineStr">
        <is>
          <t>STORFORS</t>
        </is>
      </c>
      <c r="I10" t="n">
        <v>0.7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HYPERLINK("https://klasma.github.io/Logging_1760/artfynd/A 46376-2023 artfynd.xlsx", "A 46376-2023")</f>
        <v/>
      </c>
      <c r="X10">
        <f>HYPERLINK("https://klasma.github.io/Logging_1760/kartor/A 46376-2023 karta.png", "A 46376-2023")</f>
        <v/>
      </c>
      <c r="Y10">
        <f>HYPERLINK("https://klasma.github.io/Logging_1760/kartor_geotiff/A 46376-2023 georefererad karta.tif", "A 46376-2023")</f>
        <v/>
      </c>
      <c r="AA10">
        <f>HYPERLINK("https://klasma.github.io/Logging_1760/klagomål/A 46376-2023 FSC-klagomål.docx", "A 46376-2023")</f>
        <v/>
      </c>
      <c r="AB10">
        <f>HYPERLINK("https://klasma.github.io/Logging_1760/klagomålsmail/A 46376-2023 FSC-klagomål mail.docx", "A 46376-2023")</f>
        <v/>
      </c>
      <c r="AC10">
        <f>HYPERLINK("https://klasma.github.io/Logging_1760/tillsyn/A 46376-2023 tillsynsbegäran.docx", "A 46376-2023")</f>
        <v/>
      </c>
      <c r="AD10">
        <f>HYPERLINK("https://klasma.github.io/Logging_1760/tillsynsmail/A 46376-2023 tillsynsbegäran mail.docx", "A 46376-2023")</f>
        <v/>
      </c>
    </row>
    <row r="11" ht="15" customHeight="1">
      <c r="A11" t="inlineStr">
        <is>
          <t>A 35089-2022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46320</v>
      </c>
      <c r="F11" t="inlineStr">
        <is>
          <t>VÄRMLANDS LÄN</t>
        </is>
      </c>
      <c r="G11" t="inlineStr">
        <is>
          <t>STORFORS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46320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46320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46320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46320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46320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44783-2022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44841</v>
      </c>
      <c r="E17" s="1" t="n">
        <v>46320</v>
      </c>
      <c r="F17" t="inlineStr">
        <is>
          <t>VÄRMLANDS LÄN</t>
        </is>
      </c>
      <c r="G17" t="inlineStr">
        <is>
          <t>STORFORS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45688</v>
      </c>
      <c r="E18" s="1" t="n">
        <v>46320</v>
      </c>
      <c r="F18" t="inlineStr">
        <is>
          <t>VÄRMLANDS LÄN</t>
        </is>
      </c>
      <c r="G18" t="inlineStr">
        <is>
          <t>STORFORS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3452-2025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46320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45329</v>
      </c>
      <c r="E20" s="1" t="n">
        <v>46320</v>
      </c>
      <c r="F20" t="inlineStr">
        <is>
          <t>VÄRMLANDS LÄN</t>
        </is>
      </c>
      <c r="G20" t="inlineStr">
        <is>
          <t>STORFORS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39623-2025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46320</v>
      </c>
      <c r="F21" t="inlineStr">
        <is>
          <t>VÄRMLANDS LÄN</t>
        </is>
      </c>
      <c r="G21" t="inlineStr">
        <is>
          <t>STORFORS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44938</v>
      </c>
      <c r="E22" s="1" t="n">
        <v>46320</v>
      </c>
      <c r="F22" t="inlineStr">
        <is>
          <t>VÄRMLANDS LÄN</t>
        </is>
      </c>
      <c r="G22" t="inlineStr">
        <is>
          <t>STORFORS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13795-2023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45007</v>
      </c>
      <c r="E23" s="1" t="n">
        <v>46320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19324-2022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44692</v>
      </c>
      <c r="E24" s="1" t="n">
        <v>46320</v>
      </c>
      <c r="F24" t="inlineStr">
        <is>
          <t>VÄRMLANDS LÄN</t>
        </is>
      </c>
      <c r="G24" t="inlineStr">
        <is>
          <t>STORFORS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24406-2026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46169</v>
      </c>
      <c r="E25" s="1" t="n">
        <v>46320</v>
      </c>
      <c r="F25" t="inlineStr">
        <is>
          <t>VÄRMLANDS LÄN</t>
        </is>
      </c>
      <c r="G25" t="inlineStr">
        <is>
          <t>STORFORS</t>
        </is>
      </c>
      <c r="H25" t="inlineStr">
        <is>
          <t>Kyrkan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24442-2026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46170</v>
      </c>
      <c r="E26" s="1" t="n">
        <v>46320</v>
      </c>
      <c r="F26" t="inlineStr">
        <is>
          <t>VÄRMLANDS LÄN</t>
        </is>
      </c>
      <c r="G26" t="inlineStr">
        <is>
          <t>STORFORS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44900</v>
      </c>
      <c r="E27" s="1" t="n">
        <v>46320</v>
      </c>
      <c r="F27" t="inlineStr">
        <is>
          <t>VÄRMLANDS LÄN</t>
        </is>
      </c>
      <c r="G27" t="inlineStr">
        <is>
          <t>STORFORS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26067-2026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46320</v>
      </c>
      <c r="F28" t="inlineStr">
        <is>
          <t>VÄRMLANDS LÄN</t>
        </is>
      </c>
      <c r="G28" t="inlineStr">
        <is>
          <t>STORFORS</t>
        </is>
      </c>
      <c r="I28" t="n">
        <v>4.4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26075-2026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46320</v>
      </c>
      <c r="F29" t="inlineStr">
        <is>
          <t>VÄRMLANDS LÄN</t>
        </is>
      </c>
      <c r="G29" t="inlineStr">
        <is>
          <t>STORFORS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59449-2022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44907</v>
      </c>
      <c r="E30" s="1" t="n">
        <v>46320</v>
      </c>
      <c r="F30" t="inlineStr">
        <is>
          <t>VÄRMLANDS LÄN</t>
        </is>
      </c>
      <c r="G30" t="inlineStr">
        <is>
          <t>STORFORS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52905-2025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45957</v>
      </c>
      <c r="E31" s="1" t="n">
        <v>46320</v>
      </c>
      <c r="F31" t="inlineStr">
        <is>
          <t>VÄRMLANDS LÄN</t>
        </is>
      </c>
      <c r="G31" t="inlineStr">
        <is>
          <t>STORFORS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52922-2025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46320</v>
      </c>
      <c r="F32" t="inlineStr">
        <is>
          <t>VÄRMLANDS LÄN</t>
        </is>
      </c>
      <c r="G32" t="inlineStr">
        <is>
          <t>STORFORS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53990-2025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45961</v>
      </c>
      <c r="E33" s="1" t="n">
        <v>46320</v>
      </c>
      <c r="F33" t="inlineStr">
        <is>
          <t>VÄRMLANDS LÄN</t>
        </is>
      </c>
      <c r="G33" t="inlineStr">
        <is>
          <t>STORFORS</t>
        </is>
      </c>
      <c r="H33" t="inlineStr">
        <is>
          <t>Naturvårdsverket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55234-2025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45968</v>
      </c>
      <c r="E34" s="1" t="n">
        <v>46320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13636-2024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45390</v>
      </c>
      <c r="E35" s="1" t="n">
        <v>46320</v>
      </c>
      <c r="F35" t="inlineStr">
        <is>
          <t>VÄRMLANDS LÄN</t>
        </is>
      </c>
      <c r="G35" t="inlineStr">
        <is>
          <t>STORFORS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46320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23.6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55818-2025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45972</v>
      </c>
      <c r="E37" s="1" t="n">
        <v>46320</v>
      </c>
      <c r="F37" t="inlineStr">
        <is>
          <t>VÄRMLANDS LÄN</t>
        </is>
      </c>
      <c r="G37" t="inlineStr">
        <is>
          <t>STORFORS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28218-2026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46196</v>
      </c>
      <c r="E38" s="1" t="n">
        <v>46320</v>
      </c>
      <c r="F38" t="inlineStr">
        <is>
          <t>VÄRMLANDS LÄN</t>
        </is>
      </c>
      <c r="G38" t="inlineStr">
        <is>
          <t>STORFORS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56525-2025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45975</v>
      </c>
      <c r="E39" s="1" t="n">
        <v>46320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15152-2022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44658</v>
      </c>
      <c r="E40" s="1" t="n">
        <v>46320</v>
      </c>
      <c r="F40" t="inlineStr">
        <is>
          <t>VÄRMLANDS LÄN</t>
        </is>
      </c>
      <c r="G40" t="inlineStr">
        <is>
          <t>STORFORS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29444-2026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46203</v>
      </c>
      <c r="E41" s="1" t="n">
        <v>46320</v>
      </c>
      <c r="F41" t="inlineStr">
        <is>
          <t>VÄRMLANDS LÄN</t>
        </is>
      </c>
      <c r="G41" t="inlineStr">
        <is>
          <t>STORFORS</t>
        </is>
      </c>
      <c r="H41" t="inlineStr">
        <is>
          <t>Naturvårdsverket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41214-2023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45174</v>
      </c>
      <c r="E42" s="1" t="n">
        <v>46320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51.6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39025-2023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46320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29426-2026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46203</v>
      </c>
      <c r="E44" s="1" t="n">
        <v>46320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26230-2024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46320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30425-2026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46209</v>
      </c>
      <c r="E46" s="1" t="n">
        <v>46320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28979-2026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46199</v>
      </c>
      <c r="E47" s="1" t="n">
        <v>46320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60511-2025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45995</v>
      </c>
      <c r="E48" s="1" t="n">
        <v>46320</v>
      </c>
      <c r="F48" t="inlineStr">
        <is>
          <t>VÄRMLANDS LÄN</t>
        </is>
      </c>
      <c r="G48" t="inlineStr">
        <is>
          <t>STORFORS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48591-2024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45593</v>
      </c>
      <c r="E49" s="1" t="n">
        <v>46320</v>
      </c>
      <c r="F49" t="inlineStr">
        <is>
          <t>VÄRMLANDS LÄN</t>
        </is>
      </c>
      <c r="G49" t="inlineStr">
        <is>
          <t>STORFORS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46000</v>
      </c>
      <c r="E50" s="1" t="n">
        <v>46320</v>
      </c>
      <c r="F50" t="inlineStr">
        <is>
          <t>VÄRMLANDS LÄN</t>
        </is>
      </c>
      <c r="G50" t="inlineStr">
        <is>
          <t>STORFORS</t>
        </is>
      </c>
      <c r="H50" t="inlineStr">
        <is>
          <t>Naturvårdsverket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33806-2024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45520</v>
      </c>
      <c r="E51" s="1" t="n">
        <v>46320</v>
      </c>
      <c r="F51" t="inlineStr">
        <is>
          <t>VÄRMLANDS LÄN</t>
        </is>
      </c>
      <c r="G51" t="inlineStr">
        <is>
          <t>STORFORS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46000</v>
      </c>
      <c r="E52" s="1" t="n">
        <v>46320</v>
      </c>
      <c r="F52" t="inlineStr">
        <is>
          <t>VÄRMLANDS LÄN</t>
        </is>
      </c>
      <c r="G52" t="inlineStr">
        <is>
          <t>STORFORS</t>
        </is>
      </c>
      <c r="H52" t="inlineStr">
        <is>
          <t>Naturvårdsverket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46227</v>
      </c>
      <c r="E53" s="1" t="n">
        <v>46320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53912-2024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46320</v>
      </c>
      <c r="F54" t="inlineStr">
        <is>
          <t>VÄRMLANDS LÄN</t>
        </is>
      </c>
      <c r="G54" t="inlineStr">
        <is>
          <t>STORFORS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45146</v>
      </c>
      <c r="E55" s="1" t="n">
        <v>46320</v>
      </c>
      <c r="F55" t="inlineStr">
        <is>
          <t>VÄRMLANDS LÄN</t>
        </is>
      </c>
      <c r="G55" t="inlineStr">
        <is>
          <t>STORFORS</t>
        </is>
      </c>
      <c r="H55" t="inlineStr">
        <is>
          <t>Kyrkan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31992-2026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46232</v>
      </c>
      <c r="E56" s="1" t="n">
        <v>46320</v>
      </c>
      <c r="F56" t="inlineStr">
        <is>
          <t>VÄRMLANDS LÄN</t>
        </is>
      </c>
      <c r="G56" t="inlineStr">
        <is>
          <t>STORFORS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46013</v>
      </c>
      <c r="E57" s="1" t="n">
        <v>46320</v>
      </c>
      <c r="F57" t="inlineStr">
        <is>
          <t>VÄRMLANDS LÄN</t>
        </is>
      </c>
      <c r="G57" t="inlineStr">
        <is>
          <t>STORFORS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63080-2025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46009</v>
      </c>
      <c r="E58" s="1" t="n">
        <v>46320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45915</v>
      </c>
      <c r="E59" s="1" t="n">
        <v>46320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10.6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59146-2025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45988</v>
      </c>
      <c r="E60" s="1" t="n">
        <v>46320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9.9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49580-2025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46320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38275-2026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46281</v>
      </c>
      <c r="E62" s="1" t="n">
        <v>46320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35.1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49596-2024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45596</v>
      </c>
      <c r="E63" s="1" t="n">
        <v>46320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45396</v>
      </c>
      <c r="E64" s="1" t="n">
        <v>46320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9.6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45660</v>
      </c>
      <c r="E65" s="1" t="n">
        <v>46320</v>
      </c>
      <c r="F65" t="inlineStr">
        <is>
          <t>VÄRMLANDS LÄN</t>
        </is>
      </c>
      <c r="G65" t="inlineStr">
        <is>
          <t>STORFORS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32964-2026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46320</v>
      </c>
      <c r="F66" t="inlineStr">
        <is>
          <t>VÄRMLANDS LÄN</t>
        </is>
      </c>
      <c r="G66" t="inlineStr">
        <is>
          <t>STORFORS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46048</v>
      </c>
      <c r="E67" s="1" t="n">
        <v>46320</v>
      </c>
      <c r="F67" t="inlineStr">
        <is>
          <t>VÄRMLANDS LÄN</t>
        </is>
      </c>
      <c r="G67" t="inlineStr">
        <is>
          <t>STORFORS</t>
        </is>
      </c>
      <c r="I67" t="n">
        <v>10.8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46320</v>
      </c>
      <c r="F68" t="inlineStr">
        <is>
          <t>VÄRMLANDS LÄN</t>
        </is>
      </c>
      <c r="G68" t="inlineStr">
        <is>
          <t>STORFORS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45799</v>
      </c>
      <c r="E69" s="1" t="n">
        <v>46320</v>
      </c>
      <c r="F69" t="inlineStr">
        <is>
          <t>VÄRMLANDS LÄN</t>
        </is>
      </c>
      <c r="G69" t="inlineStr">
        <is>
          <t>STORFORS</t>
        </is>
      </c>
      <c r="H69" t="inlineStr">
        <is>
          <t>Bergvik skog väst AB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37968-2026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46320</v>
      </c>
      <c r="F70" t="inlineStr">
        <is>
          <t>VÄRMLANDS LÄN</t>
        </is>
      </c>
      <c r="G70" t="inlineStr">
        <is>
          <t>STORFORS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38176-2024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45545</v>
      </c>
      <c r="E71" s="1" t="n">
        <v>46320</v>
      </c>
      <c r="F71" t="inlineStr">
        <is>
          <t>VÄRMLANDS LÄN</t>
        </is>
      </c>
      <c r="G71" t="inlineStr">
        <is>
          <t>STORFORS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39537-2026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46289</v>
      </c>
      <c r="E72" s="1" t="n">
        <v>46320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28.9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39804-2026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46290</v>
      </c>
      <c r="E73" s="1" t="n">
        <v>46320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46057</v>
      </c>
      <c r="E74" s="1" t="n">
        <v>46320</v>
      </c>
      <c r="F74" t="inlineStr">
        <is>
          <t>VÄRMLANDS LÄN</t>
        </is>
      </c>
      <c r="G74" t="inlineStr">
        <is>
          <t>STORFORS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7427-2026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46320</v>
      </c>
      <c r="F75" t="inlineStr">
        <is>
          <t>VÄRMLANDS LÄN</t>
        </is>
      </c>
      <c r="G75" t="inlineStr">
        <is>
          <t>STORFORS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46059</v>
      </c>
      <c r="E76" s="1" t="n">
        <v>46320</v>
      </c>
      <c r="F76" t="inlineStr">
        <is>
          <t>VÄRMLANDS LÄN</t>
        </is>
      </c>
      <c r="G76" t="inlineStr">
        <is>
          <t>STORFORS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46320</v>
      </c>
      <c r="F77" t="inlineStr">
        <is>
          <t>VÄRMLANDS LÄN</t>
        </is>
      </c>
      <c r="G77" t="inlineStr">
        <is>
          <t>STORFORS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40098-2026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46293</v>
      </c>
      <c r="E78" s="1" t="n">
        <v>46320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8.800000000000001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39988-2026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46293</v>
      </c>
      <c r="E79" s="1" t="n">
        <v>46320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40009-2026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46293</v>
      </c>
      <c r="E80" s="1" t="n">
        <v>46320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10.6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45818</v>
      </c>
      <c r="E81" s="1" t="n">
        <v>46320</v>
      </c>
      <c r="F81" t="inlineStr">
        <is>
          <t>VÄRMLANDS LÄN</t>
        </is>
      </c>
      <c r="G81" t="inlineStr">
        <is>
          <t>STORFORS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40058-2026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46293</v>
      </c>
      <c r="E82" s="1" t="n">
        <v>46320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12.5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34627-2026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46255</v>
      </c>
      <c r="E83" s="1" t="n">
        <v>46320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24.1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46320</v>
      </c>
      <c r="F84" t="inlineStr">
        <is>
          <t>VÄRMLANDS LÄN</t>
        </is>
      </c>
      <c r="G84" t="inlineStr">
        <is>
          <t>STORFORS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46300</v>
      </c>
      <c r="E85" s="1" t="n">
        <v>46320</v>
      </c>
      <c r="F85" t="inlineStr">
        <is>
          <t>VÄRMLANDS LÄN</t>
        </is>
      </c>
      <c r="G85" t="inlineStr">
        <is>
          <t>STORFORS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44938</v>
      </c>
      <c r="E86" s="1" t="n">
        <v>46320</v>
      </c>
      <c r="F86" t="inlineStr">
        <is>
          <t>VÄRMLANDS LÄN</t>
        </is>
      </c>
      <c r="G86" t="inlineStr">
        <is>
          <t>STORFORS</t>
        </is>
      </c>
      <c r="H86" t="inlineStr">
        <is>
          <t>Kyrkan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13960-2026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46320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46100</v>
      </c>
      <c r="E88" s="1" t="n">
        <v>46320</v>
      </c>
      <c r="F88" t="inlineStr">
        <is>
          <t>VÄRMLANDS LÄN</t>
        </is>
      </c>
      <c r="G88" t="inlineStr">
        <is>
          <t>STORFORS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46320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34718-2026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46258</v>
      </c>
      <c r="E90" s="1" t="n">
        <v>46320</v>
      </c>
      <c r="F90" t="inlineStr">
        <is>
          <t>VÄRMLANDS LÄN</t>
        </is>
      </c>
      <c r="G90" t="inlineStr">
        <is>
          <t>STORFORS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16421-2026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46320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46320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5.5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46320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42042-2026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46304</v>
      </c>
      <c r="E94" s="1" t="n">
        <v>46320</v>
      </c>
      <c r="F94" t="inlineStr">
        <is>
          <t>VÄRMLANDS LÄN</t>
        </is>
      </c>
      <c r="G94" t="inlineStr">
        <is>
          <t>STORFORS</t>
        </is>
      </c>
      <c r="H94" t="inlineStr">
        <is>
          <t>Bergvik skog väst AB</t>
        </is>
      </c>
      <c r="I94" t="n">
        <v>30.2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45840</v>
      </c>
      <c r="E95" s="1" t="n">
        <v>46320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35321-2026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46261</v>
      </c>
      <c r="E96" s="1" t="n">
        <v>46320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46320</v>
      </c>
      <c r="F97" t="inlineStr">
        <is>
          <t>VÄRMLANDS LÄN</t>
        </is>
      </c>
      <c r="G97" t="inlineStr">
        <is>
          <t>STORFORS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18757-2026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46128</v>
      </c>
      <c r="E98" s="1" t="n">
        <v>46320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14.1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23279-2024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46320</v>
      </c>
      <c r="F99" t="inlineStr">
        <is>
          <t>VÄRMLANDS LÄN</t>
        </is>
      </c>
      <c r="G99" t="inlineStr">
        <is>
          <t>STORFORS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44939</v>
      </c>
      <c r="E100" s="1" t="n">
        <v>46320</v>
      </c>
      <c r="F100" t="inlineStr">
        <is>
          <t>VÄRMLANDS LÄN</t>
        </is>
      </c>
      <c r="G100" t="inlineStr">
        <is>
          <t>STORFORS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35672-2026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46265</v>
      </c>
      <c r="E101" s="1" t="n">
        <v>46320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57792-2022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44897</v>
      </c>
      <c r="E102" s="1" t="n">
        <v>46320</v>
      </c>
      <c r="F102" t="inlineStr">
        <is>
          <t>VÄRMLANDS LÄN</t>
        </is>
      </c>
      <c r="G102" t="inlineStr">
        <is>
          <t>STORFORS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20533-2026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46320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52834-2023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45226</v>
      </c>
      <c r="E104" s="1" t="n">
        <v>46320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46320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46320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36310-2026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46268</v>
      </c>
      <c r="E107" s="1" t="n">
        <v>46320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20311-2026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46139</v>
      </c>
      <c r="E108" s="1" t="n">
        <v>46320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36417-2026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46268</v>
      </c>
      <c r="E109" s="1" t="n">
        <v>46320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45232</v>
      </c>
      <c r="E110" s="1" t="n">
        <v>46320</v>
      </c>
      <c r="F110" t="inlineStr">
        <is>
          <t>VÄRMLANDS LÄN</t>
        </is>
      </c>
      <c r="G110" t="inlineStr">
        <is>
          <t>STORFORS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20453-2026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46320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16.1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20465-2026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46140</v>
      </c>
      <c r="E112" s="1" t="n">
        <v>46320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46140</v>
      </c>
      <c r="E113" s="1" t="n">
        <v>46320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46320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46320</v>
      </c>
      <c r="F115" t="inlineStr">
        <is>
          <t>VÄRMLANDS LÄN</t>
        </is>
      </c>
      <c r="G115" t="inlineStr">
        <is>
          <t>STORFORS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46317</v>
      </c>
      <c r="E116" s="1" t="n">
        <v>46320</v>
      </c>
      <c r="F116" t="inlineStr">
        <is>
          <t>VÄRMLANDS LÄN</t>
        </is>
      </c>
      <c r="G116" t="inlineStr">
        <is>
          <t>STORFORS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20749-2026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46320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47713-2024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45588</v>
      </c>
      <c r="E118" s="1" t="n">
        <v>46320</v>
      </c>
      <c r="F118" t="inlineStr">
        <is>
          <t>VÄRMLANDS LÄN</t>
        </is>
      </c>
      <c r="G118" t="inlineStr">
        <is>
          <t>STORFORS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45588</v>
      </c>
      <c r="E119" s="1" t="n">
        <v>46320</v>
      </c>
      <c r="F119" t="inlineStr">
        <is>
          <t>VÄRMLANDS LÄN</t>
        </is>
      </c>
      <c r="G119" t="inlineStr">
        <is>
          <t>STORFORS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21035-2026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46320</v>
      </c>
      <c r="F120" t="inlineStr">
        <is>
          <t>VÄRMLANDS LÄN</t>
        </is>
      </c>
      <c r="G120" t="inlineStr">
        <is>
          <t>STORFORS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46205</v>
      </c>
      <c r="E121" s="1" t="n">
        <v>46320</v>
      </c>
      <c r="F121" t="inlineStr">
        <is>
          <t>VÄRMLANDS LÄN</t>
        </is>
      </c>
      <c r="G121" t="inlineStr">
        <is>
          <t>STORFORS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45614</v>
      </c>
      <c r="E122" s="1" t="n">
        <v>46320</v>
      </c>
      <c r="F122" t="inlineStr">
        <is>
          <t>VÄRMLANDS LÄN</t>
        </is>
      </c>
      <c r="G122" t="inlineStr">
        <is>
          <t>STORFORS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46320</v>
      </c>
      <c r="F123" t="inlineStr">
        <is>
          <t>VÄRMLANDS LÄN</t>
        </is>
      </c>
      <c r="G123" t="inlineStr">
        <is>
          <t>STORFORS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45711</v>
      </c>
      <c r="E124" s="1" t="n">
        <v>46320</v>
      </c>
      <c r="F124" t="inlineStr">
        <is>
          <t>VÄRMLANDS LÄN</t>
        </is>
      </c>
      <c r="G124" t="inlineStr">
        <is>
          <t>STORFORS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46320</v>
      </c>
      <c r="F125" t="inlineStr">
        <is>
          <t>VÄRMLANDS LÄN</t>
        </is>
      </c>
      <c r="G125" t="inlineStr">
        <is>
          <t>STORFORS</t>
        </is>
      </c>
      <c r="I125" t="n">
        <v>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58451-2025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45985</v>
      </c>
      <c r="E126" s="1" t="n">
        <v>46320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14.1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61586-2025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46002</v>
      </c>
      <c r="E127" s="1" t="n">
        <v>46320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28466-2022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44747</v>
      </c>
      <c r="E128" s="1" t="n">
        <v>46320</v>
      </c>
      <c r="F128" t="inlineStr">
        <is>
          <t>VÄRMLANDS LÄN</t>
        </is>
      </c>
      <c r="G128" t="inlineStr">
        <is>
          <t>STORFORS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20725-2023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45058</v>
      </c>
      <c r="E129" s="1" t="n">
        <v>46320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46320</v>
      </c>
      <c r="F130" t="inlineStr">
        <is>
          <t>VÄRMLANDS LÄN</t>
        </is>
      </c>
      <c r="G130" t="inlineStr">
        <is>
          <t>STORFORS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47894-2023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45204</v>
      </c>
      <c r="E131" s="1" t="n">
        <v>46320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45028</v>
      </c>
      <c r="E132" s="1" t="n">
        <v>46320</v>
      </c>
      <c r="F132" t="inlineStr">
        <is>
          <t>VÄRMLANDS LÄN</t>
        </is>
      </c>
      <c r="G132" t="inlineStr">
        <is>
          <t>STORFORS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47728-2023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45203</v>
      </c>
      <c r="E133" s="1" t="n">
        <v>46320</v>
      </c>
      <c r="F133" t="inlineStr">
        <is>
          <t>VÄRMLANDS LÄN</t>
        </is>
      </c>
      <c r="G133" t="inlineStr">
        <is>
          <t>STORFORS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45669</v>
      </c>
      <c r="E134" s="1" t="n">
        <v>46320</v>
      </c>
      <c r="F134" t="inlineStr">
        <is>
          <t>VÄRMLANDS LÄN</t>
        </is>
      </c>
      <c r="G134" t="inlineStr">
        <is>
          <t>STORFORS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30587-2023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46320</v>
      </c>
      <c r="F135" t="inlineStr">
        <is>
          <t>VÄRMLANDS LÄN</t>
        </is>
      </c>
      <c r="G135" t="inlineStr">
        <is>
          <t>STORFORS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44536</v>
      </c>
      <c r="E136" s="1" t="n">
        <v>46320</v>
      </c>
      <c r="F136" t="inlineStr">
        <is>
          <t>VÄRMLANDS LÄN</t>
        </is>
      </c>
      <c r="G136" t="inlineStr">
        <is>
          <t>STORFORS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36697-2023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45153</v>
      </c>
      <c r="E137" s="1" t="n">
        <v>46320</v>
      </c>
      <c r="F137" t="inlineStr">
        <is>
          <t>VÄRMLANDS LÄN</t>
        </is>
      </c>
      <c r="G137" t="inlineStr">
        <is>
          <t>STORFORS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45104</v>
      </c>
      <c r="E138" s="1" t="n">
        <v>46320</v>
      </c>
      <c r="F138" t="inlineStr">
        <is>
          <t>VÄRMLANDS LÄN</t>
        </is>
      </c>
      <c r="G138" t="inlineStr">
        <is>
          <t>STORFORS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46320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21929-2023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46320</v>
      </c>
      <c r="F140" t="inlineStr">
        <is>
          <t>VÄRMLANDS LÄN</t>
        </is>
      </c>
      <c r="G140" t="inlineStr">
        <is>
          <t>STORFORS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45401</v>
      </c>
      <c r="E141" s="1" t="n">
        <v>46320</v>
      </c>
      <c r="F141" t="inlineStr">
        <is>
          <t>VÄRMLANDS LÄN</t>
        </is>
      </c>
      <c r="G141" t="inlineStr">
        <is>
          <t>STORFORS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6856-2025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46320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45681</v>
      </c>
      <c r="E143" s="1" t="n">
        <v>46320</v>
      </c>
      <c r="F143" t="inlineStr">
        <is>
          <t>VÄRMLANDS LÄN</t>
        </is>
      </c>
      <c r="G143" t="inlineStr">
        <is>
          <t>STORFORS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45072</v>
      </c>
      <c r="E144" s="1" t="n">
        <v>46320</v>
      </c>
      <c r="F144" t="inlineStr">
        <is>
          <t>VÄRMLANDS LÄN</t>
        </is>
      </c>
      <c r="G144" t="inlineStr">
        <is>
          <t>STORFORS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46320</v>
      </c>
      <c r="F145" t="inlineStr">
        <is>
          <t>VÄRMLANDS LÄN</t>
        </is>
      </c>
      <c r="G145" t="inlineStr">
        <is>
          <t>STORFORS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47624-2023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45203</v>
      </c>
      <c r="E146" s="1" t="n">
        <v>46320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45708</v>
      </c>
      <c r="E147" s="1" t="n">
        <v>46320</v>
      </c>
      <c r="F147" t="inlineStr">
        <is>
          <t>VÄRMLANDS LÄN</t>
        </is>
      </c>
      <c r="G147" t="inlineStr">
        <is>
          <t>STORFORS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46320</v>
      </c>
      <c r="F148" t="inlineStr">
        <is>
          <t>VÄRMLANDS LÄN</t>
        </is>
      </c>
      <c r="G148" t="inlineStr">
        <is>
          <t>STORFORS</t>
        </is>
      </c>
      <c r="H148" t="inlineStr">
        <is>
          <t>Naturvårdsverket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45686</v>
      </c>
      <c r="E149" s="1" t="n">
        <v>46320</v>
      </c>
      <c r="F149" t="inlineStr">
        <is>
          <t>VÄRMLANDS LÄN</t>
        </is>
      </c>
      <c r="G149" t="inlineStr">
        <is>
          <t>STORFORS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46320</v>
      </c>
      <c r="F150" t="inlineStr">
        <is>
          <t>VÄRMLANDS LÄN</t>
        </is>
      </c>
      <c r="G150" t="inlineStr">
        <is>
          <t>STORFORS</t>
        </is>
      </c>
      <c r="H150" t="inlineStr">
        <is>
          <t>Naturvårdsverket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46320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53202-2023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45229</v>
      </c>
      <c r="E152" s="1" t="n">
        <v>46320</v>
      </c>
      <c r="F152" t="inlineStr">
        <is>
          <t>VÄRMLANDS LÄN</t>
        </is>
      </c>
      <c r="G152" t="inlineStr">
        <is>
          <t>STORFORS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26201-2024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45468</v>
      </c>
      <c r="E153" s="1" t="n">
        <v>46320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11290-2025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45726</v>
      </c>
      <c r="E154" s="1" t="n">
        <v>46320</v>
      </c>
      <c r="F154" t="inlineStr">
        <is>
          <t>VÄRMLANDS LÄN</t>
        </is>
      </c>
      <c r="G154" t="inlineStr">
        <is>
          <t>STORFORS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45372</v>
      </c>
      <c r="E155" s="1" t="n">
        <v>46320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46320</v>
      </c>
      <c r="F156" t="inlineStr">
        <is>
          <t>VÄRMLANDS LÄN</t>
        </is>
      </c>
      <c r="G156" t="inlineStr">
        <is>
          <t>STORFORS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44747</v>
      </c>
      <c r="E157" s="1" t="n">
        <v>46320</v>
      </c>
      <c r="F157" t="inlineStr">
        <is>
          <t>VÄRMLANDS LÄN</t>
        </is>
      </c>
      <c r="G157" t="inlineStr">
        <is>
          <t>STORFORS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7072-2023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44969</v>
      </c>
      <c r="E158" s="1" t="n">
        <v>46320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44900</v>
      </c>
      <c r="E159" s="1" t="n">
        <v>46320</v>
      </c>
      <c r="F159" t="inlineStr">
        <is>
          <t>VÄRMLANDS LÄN</t>
        </is>
      </c>
      <c r="G159" t="inlineStr">
        <is>
          <t>STORFORS</t>
        </is>
      </c>
      <c r="H159" t="inlineStr">
        <is>
          <t>Naturvårdsverket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46320</v>
      </c>
      <c r="F160" t="inlineStr">
        <is>
          <t>VÄRMLANDS LÄN</t>
        </is>
      </c>
      <c r="G160" t="inlineStr">
        <is>
          <t>STORFORS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46320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46320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46320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46320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46320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2026-10-25T02:01:10Z</dcterms:created>
  <dcterms:modified xmlns:dcterms="http://purl.org/dc/terms/" xmlns:xsi="http://www.w3.org/2001/XMLSchema-instance" xsi:type="dcterms:W3CDTF">2026-10-25T02:01:10Z</dcterms:modified>
</cp:coreProperties>
</file>