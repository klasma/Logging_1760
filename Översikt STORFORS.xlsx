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56303-2025</t>
        </is>
      </c>
      <c r="B2" s="1" t="n">
        <v>45974.60728009259</v>
      </c>
      <c r="C2" s="1" t="n">
        <v>46190</v>
      </c>
      <c r="D2" t="inlineStr">
        <is>
          <t>VÄRMLANDS LÄN</t>
        </is>
      </c>
      <c r="E2" t="inlineStr">
        <is>
          <t>STORFORS</t>
        </is>
      </c>
      <c r="F2" t="inlineStr">
        <is>
          <t>Bergvik skog väst AB</t>
        </is>
      </c>
      <c r="G2" t="n">
        <v>10.8</v>
      </c>
      <c r="H2" t="n">
        <v>3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Dofttaggsvamp
Granticka
Spillkråka
Tretåig hackspett
Dropptaggsvamp
Mörk husmossa
Vedticka
Tjäder</t>
        </is>
      </c>
      <c r="S2">
        <f>HYPERLINK("https://klasma.github.io/Logging_1760/artfynd/A 56303-2025 artfynd.xlsx", "A 56303-2025")</f>
        <v/>
      </c>
      <c r="T2">
        <f>HYPERLINK("https://klasma.github.io/Logging_1760/kartor/A 56303-2025 karta.png", "A 56303-2025")</f>
        <v/>
      </c>
      <c r="V2">
        <f>HYPERLINK("https://klasma.github.io/Logging_1760/klagomål/A 56303-2025 FSC-klagomål.docx", "A 56303-2025")</f>
        <v/>
      </c>
      <c r="W2">
        <f>HYPERLINK("https://klasma.github.io/Logging_1760/klagomålsmail/A 56303-2025 FSC-klagomål mail.docx", "A 56303-2025")</f>
        <v/>
      </c>
      <c r="X2">
        <f>HYPERLINK("https://klasma.github.io/Logging_1760/tillsyn/A 56303-2025 tillsynsbegäran.docx", "A 56303-2025")</f>
        <v/>
      </c>
      <c r="Y2">
        <f>HYPERLINK("https://klasma.github.io/Logging_1760/tillsynsmail/A 56303-2025 tillsynsbegäran mail.docx", "A 56303-2025")</f>
        <v/>
      </c>
      <c r="Z2">
        <f>HYPERLINK("https://klasma.github.io/Logging_1760/fåglar/A 56303-2025 prioriterade fågelarter.docx", "A 56303-2025")</f>
        <v/>
      </c>
    </row>
    <row r="3" ht="15" customHeight="1">
      <c r="A3" t="inlineStr">
        <is>
          <t>A 43407-2022</t>
        </is>
      </c>
      <c r="B3" s="1" t="n">
        <v>44834</v>
      </c>
      <c r="C3" s="1" t="n">
        <v>46190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7.1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Orre</t>
        </is>
      </c>
      <c r="S3">
        <f>HYPERLINK("https://klasma.github.io/Logging_1760/artfynd/A 43407-2022 artfynd.xlsx", "A 43407-2022")</f>
        <v/>
      </c>
      <c r="T3">
        <f>HYPERLINK("https://klasma.github.io/Logging_1760/kartor/A 43407-2022 karta.png", "A 43407-2022")</f>
        <v/>
      </c>
      <c r="V3">
        <f>HYPERLINK("https://klasma.github.io/Logging_1760/klagomål/A 43407-2022 FSC-klagomål.docx", "A 43407-2022")</f>
        <v/>
      </c>
      <c r="W3">
        <f>HYPERLINK("https://klasma.github.io/Logging_1760/klagomålsmail/A 43407-2022 FSC-klagomål mail.docx", "A 43407-2022")</f>
        <v/>
      </c>
      <c r="X3">
        <f>HYPERLINK("https://klasma.github.io/Logging_1760/tillsyn/A 43407-2022 tillsynsbegäran.docx", "A 43407-2022")</f>
        <v/>
      </c>
      <c r="Y3">
        <f>HYPERLINK("https://klasma.github.io/Logging_1760/tillsynsmail/A 43407-2022 tillsynsbegäran mail.docx", "A 43407-2022")</f>
        <v/>
      </c>
      <c r="Z3">
        <f>HYPERLINK("https://klasma.github.io/Logging_1760/fåglar/A 43407-2022 prioriterade fågelarter.docx", "A 43407-2022")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46190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55576-2025</t>
        </is>
      </c>
      <c r="B5" s="1" t="n">
        <v>45971.66637731482</v>
      </c>
      <c r="C5" s="1" t="n">
        <v>46190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8.4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HYPERLINK("https://klasma.github.io/Logging_1760/artfynd/A 55576-2025 artfynd.xlsx", "A 55576-2025")</f>
        <v/>
      </c>
      <c r="T5">
        <f>HYPERLINK("https://klasma.github.io/Logging_1760/kartor/A 55576-2025 karta.png", "A 55576-2025")</f>
        <v/>
      </c>
      <c r="V5">
        <f>HYPERLINK("https://klasma.github.io/Logging_1760/klagomål/A 55576-2025 FSC-klagomål.docx", "A 55576-2025")</f>
        <v/>
      </c>
      <c r="W5">
        <f>HYPERLINK("https://klasma.github.io/Logging_1760/klagomålsmail/A 55576-2025 FSC-klagomål mail.docx", "A 55576-2025")</f>
        <v/>
      </c>
      <c r="X5">
        <f>HYPERLINK("https://klasma.github.io/Logging_1760/tillsyn/A 55576-2025 tillsynsbegäran.docx", "A 55576-2025")</f>
        <v/>
      </c>
      <c r="Y5">
        <f>HYPERLINK("https://klasma.github.io/Logging_1760/tillsynsmail/A 55576-2025 tillsynsbegäran mail.docx", "A 55576-2025")</f>
        <v/>
      </c>
      <c r="Z5">
        <f>HYPERLINK("https://klasma.github.io/Logging_1760/fåglar/A 55576-2025 prioriterade fågelarter.docx", "A 55576-2025")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46190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35089-2022</t>
        </is>
      </c>
      <c r="B7" s="1" t="n">
        <v>44797</v>
      </c>
      <c r="C7" s="1" t="n">
        <v>46190</v>
      </c>
      <c r="D7" t="inlineStr">
        <is>
          <t>VÄRMLANDS LÄN</t>
        </is>
      </c>
      <c r="E7" t="inlineStr">
        <is>
          <t>STORFORS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59084-2021</t>
        </is>
      </c>
      <c r="B8" s="1" t="n">
        <v>44490.4119212963</v>
      </c>
      <c r="C8" s="1" t="n">
        <v>46190</v>
      </c>
      <c r="D8" t="inlineStr">
        <is>
          <t>VÄRMLANDS LÄN</t>
        </is>
      </c>
      <c r="E8" t="inlineStr">
        <is>
          <t>STORFORS</t>
        </is>
      </c>
      <c r="F8" t="inlineStr">
        <is>
          <t>Naturvårdsverket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34634-2021</t>
        </is>
      </c>
      <c r="B9" s="1" t="n">
        <v>44382</v>
      </c>
      <c r="C9" s="1" t="n">
        <v>46190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35084-2022</t>
        </is>
      </c>
      <c r="B10" s="1" t="n">
        <v>44797.39523148148</v>
      </c>
      <c r="C10" s="1" t="n">
        <v>46190</v>
      </c>
      <c r="D10" t="inlineStr">
        <is>
          <t>VÄRMLANDS LÄN</t>
        </is>
      </c>
      <c r="E10" t="inlineStr">
        <is>
          <t>STORFORS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64815-2021</t>
        </is>
      </c>
      <c r="B11" s="1" t="n">
        <v>44512</v>
      </c>
      <c r="C11" s="1" t="n">
        <v>46190</v>
      </c>
      <c r="D11" t="inlineStr">
        <is>
          <t>VÄRMLANDS LÄN</t>
        </is>
      </c>
      <c r="E11" t="inlineStr">
        <is>
          <t>STORFORS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51171-2022</t>
        </is>
      </c>
      <c r="B12" s="1" t="n">
        <v>44868</v>
      </c>
      <c r="C12" s="1" t="n">
        <v>46190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33307-2022</t>
        </is>
      </c>
      <c r="B13" s="1" t="n">
        <v>44788</v>
      </c>
      <c r="C13" s="1" t="n">
        <v>46190</v>
      </c>
      <c r="D13" t="inlineStr">
        <is>
          <t>VÄRMLANDS LÄN</t>
        </is>
      </c>
      <c r="E13" t="inlineStr">
        <is>
          <t>STORFORS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53398-2021</t>
        </is>
      </c>
      <c r="B14" s="1" t="n">
        <v>44468</v>
      </c>
      <c r="C14" s="1" t="n">
        <v>46190</v>
      </c>
      <c r="D14" t="inlineStr">
        <is>
          <t>VÄRMLANDS LÄN</t>
        </is>
      </c>
      <c r="E14" t="inlineStr">
        <is>
          <t>STORFORS</t>
        </is>
      </c>
      <c r="F14" t="inlineStr">
        <is>
          <t>Naturvårdsverket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44802-2022</t>
        </is>
      </c>
      <c r="B15" s="1" t="n">
        <v>44841.37923611111</v>
      </c>
      <c r="C15" s="1" t="n">
        <v>46190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64814-2021</t>
        </is>
      </c>
      <c r="B16" s="1" t="n">
        <v>44512</v>
      </c>
      <c r="C16" s="1" t="n">
        <v>46190</v>
      </c>
      <c r="D16" t="inlineStr">
        <is>
          <t>VÄRMLANDS LÄN</t>
        </is>
      </c>
      <c r="E16" t="inlineStr">
        <is>
          <t>STORFORS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57734-2021</t>
        </is>
      </c>
      <c r="B17" s="1" t="n">
        <v>44484.52479166666</v>
      </c>
      <c r="C17" s="1" t="n">
        <v>46190</v>
      </c>
      <c r="D17" t="inlineStr">
        <is>
          <t>VÄRMLANDS LÄN</t>
        </is>
      </c>
      <c r="E17" t="inlineStr">
        <is>
          <t>STORFORS</t>
        </is>
      </c>
      <c r="F17" t="inlineStr">
        <is>
          <t>Naturvårdsverket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44783-2022</t>
        </is>
      </c>
      <c r="B18" s="1" t="n">
        <v>44841.35112268518</v>
      </c>
      <c r="C18" s="1" t="n">
        <v>46190</v>
      </c>
      <c r="D18" t="inlineStr">
        <is>
          <t>VÄRMLANDS LÄN</t>
        </is>
      </c>
      <c r="E18" t="inlineStr">
        <is>
          <t>STORFORS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15442-2024</t>
        </is>
      </c>
      <c r="B19" s="1" t="n">
        <v>45401.42217592592</v>
      </c>
      <c r="C19" s="1" t="n">
        <v>46190</v>
      </c>
      <c r="D19" t="inlineStr">
        <is>
          <t>VÄRMLANDS LÄN</t>
        </is>
      </c>
      <c r="E19" t="inlineStr">
        <is>
          <t>STORFORS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41867-2021</t>
        </is>
      </c>
      <c r="B20" s="1" t="n">
        <v>44426.31266203704</v>
      </c>
      <c r="C20" s="1" t="n">
        <v>46190</v>
      </c>
      <c r="D20" t="inlineStr">
        <is>
          <t>VÄRMLANDS LÄN</t>
        </is>
      </c>
      <c r="E20" t="inlineStr">
        <is>
          <t>STORFORS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20725-2023</t>
        </is>
      </c>
      <c r="B21" s="1" t="n">
        <v>45058.47887731482</v>
      </c>
      <c r="C21" s="1" t="n">
        <v>46190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13795-2023</t>
        </is>
      </c>
      <c r="B22" s="1" t="n">
        <v>45007</v>
      </c>
      <c r="C22" s="1" t="n">
        <v>46190</v>
      </c>
      <c r="D22" t="inlineStr">
        <is>
          <t>VÄRMLANDS LÄN</t>
        </is>
      </c>
      <c r="E22" t="inlineStr">
        <is>
          <t>STORFORS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22935-2023</t>
        </is>
      </c>
      <c r="B23" s="1" t="n">
        <v>45072.60810185185</v>
      </c>
      <c r="C23" s="1" t="n">
        <v>46190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53353-2024</t>
        </is>
      </c>
      <c r="B24" s="1" t="n">
        <v>45614.45392361111</v>
      </c>
      <c r="C24" s="1" t="n">
        <v>46190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26201-2024</t>
        </is>
      </c>
      <c r="B25" s="1" t="n">
        <v>45468</v>
      </c>
      <c r="C25" s="1" t="n">
        <v>46190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25.4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57209-2022</t>
        </is>
      </c>
      <c r="B26" s="1" t="n">
        <v>44895.64663194444</v>
      </c>
      <c r="C26" s="1" t="n">
        <v>46190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70761-2021</t>
        </is>
      </c>
      <c r="B27" s="1" t="n">
        <v>44536</v>
      </c>
      <c r="C27" s="1" t="n">
        <v>46190</v>
      </c>
      <c r="D27" t="inlineStr">
        <is>
          <t>VÄRMLANDS LÄN</t>
        </is>
      </c>
      <c r="E27" t="inlineStr">
        <is>
          <t>STORFORS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7072-2023</t>
        </is>
      </c>
      <c r="B28" s="1" t="n">
        <v>44969.95028935185</v>
      </c>
      <c r="C28" s="1" t="n">
        <v>46190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23279-2024</t>
        </is>
      </c>
      <c r="B29" s="1" t="n">
        <v>45453</v>
      </c>
      <c r="C29" s="1" t="n">
        <v>46190</v>
      </c>
      <c r="D29" t="inlineStr">
        <is>
          <t>VÄRMLANDS LÄN</t>
        </is>
      </c>
      <c r="E29" t="inlineStr">
        <is>
          <t>STORFORS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11290-2025</t>
        </is>
      </c>
      <c r="B30" s="1" t="n">
        <v>45726.4278587963</v>
      </c>
      <c r="C30" s="1" t="n">
        <v>46190</v>
      </c>
      <c r="D30" t="inlineStr">
        <is>
          <t>VÄRMLANDS LÄN</t>
        </is>
      </c>
      <c r="E30" t="inlineStr">
        <is>
          <t>STORFORS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35370-2023</t>
        </is>
      </c>
      <c r="B31" s="1" t="n">
        <v>45146</v>
      </c>
      <c r="C31" s="1" t="n">
        <v>46190</v>
      </c>
      <c r="D31" t="inlineStr">
        <is>
          <t>VÄRMLANDS LÄN</t>
        </is>
      </c>
      <c r="E31" t="inlineStr">
        <is>
          <t>STORFORS</t>
        </is>
      </c>
      <c r="F31" t="inlineStr">
        <is>
          <t>Kyrkan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13636-2024</t>
        </is>
      </c>
      <c r="B32" s="1" t="n">
        <v>45390</v>
      </c>
      <c r="C32" s="1" t="n">
        <v>46190</v>
      </c>
      <c r="D32" t="inlineStr">
        <is>
          <t>VÄRMLANDS LÄN</t>
        </is>
      </c>
      <c r="E32" t="inlineStr">
        <is>
          <t>STORFORS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53912-2024</t>
        </is>
      </c>
      <c r="B33" s="1" t="n">
        <v>45615.72717592592</v>
      </c>
      <c r="C33" s="1" t="n">
        <v>46190</v>
      </c>
      <c r="D33" t="inlineStr">
        <is>
          <t>VÄRMLANDS LÄN</t>
        </is>
      </c>
      <c r="E33" t="inlineStr">
        <is>
          <t>STORFORS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47728-2023</t>
        </is>
      </c>
      <c r="B34" s="1" t="n">
        <v>45203.68487268518</v>
      </c>
      <c r="C34" s="1" t="n">
        <v>46190</v>
      </c>
      <c r="D34" t="inlineStr">
        <is>
          <t>VÄRMLANDS LÄN</t>
        </is>
      </c>
      <c r="E34" t="inlineStr">
        <is>
          <t>STORFORS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39998-2023</t>
        </is>
      </c>
      <c r="B35" s="1" t="n">
        <v>45168</v>
      </c>
      <c r="C35" s="1" t="n">
        <v>46190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54738-2023</t>
        </is>
      </c>
      <c r="B36" s="1" t="n">
        <v>45236</v>
      </c>
      <c r="C36" s="1" t="n">
        <v>46190</v>
      </c>
      <c r="D36" t="inlineStr">
        <is>
          <t>VÄRMLANDS LÄN</t>
        </is>
      </c>
      <c r="E36" t="inlineStr">
        <is>
          <t>STORFORS</t>
        </is>
      </c>
      <c r="F36" t="inlineStr">
        <is>
          <t>Naturvårdsverket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57981-2022</t>
        </is>
      </c>
      <c r="B37" s="1" t="n">
        <v>44900.47692129629</v>
      </c>
      <c r="C37" s="1" t="n">
        <v>46190</v>
      </c>
      <c r="D37" t="inlineStr">
        <is>
          <t>VÄRMLANDS LÄN</t>
        </is>
      </c>
      <c r="E37" t="inlineStr">
        <is>
          <t>STORFORS</t>
        </is>
      </c>
      <c r="F37" t="inlineStr">
        <is>
          <t>Naturvårdsverket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1431-2025</t>
        </is>
      </c>
      <c r="B38" s="1" t="n">
        <v>45669</v>
      </c>
      <c r="C38" s="1" t="n">
        <v>46190</v>
      </c>
      <c r="D38" t="inlineStr">
        <is>
          <t>VÄRMLANDS LÄN</t>
        </is>
      </c>
      <c r="E38" t="inlineStr">
        <is>
          <t>STORFORS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49596-2024</t>
        </is>
      </c>
      <c r="B39" s="1" t="n">
        <v>45596.55828703703</v>
      </c>
      <c r="C39" s="1" t="n">
        <v>46190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58125-2022</t>
        </is>
      </c>
      <c r="B40" s="1" t="n">
        <v>44900.67206018518</v>
      </c>
      <c r="C40" s="1" t="n">
        <v>46190</v>
      </c>
      <c r="D40" t="inlineStr">
        <is>
          <t>VÄRMLANDS LÄN</t>
        </is>
      </c>
      <c r="E40" t="inlineStr">
        <is>
          <t>STORFORS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3721-2025</t>
        </is>
      </c>
      <c r="B41" s="1" t="n">
        <v>45681</v>
      </c>
      <c r="C41" s="1" t="n">
        <v>46190</v>
      </c>
      <c r="D41" t="inlineStr">
        <is>
          <t>VÄRMLANDS LÄN</t>
        </is>
      </c>
      <c r="E41" t="inlineStr">
        <is>
          <t>STORFORS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21111-2025</t>
        </is>
      </c>
      <c r="B42" s="1" t="n">
        <v>45777</v>
      </c>
      <c r="C42" s="1" t="n">
        <v>46190</v>
      </c>
      <c r="D42" t="inlineStr">
        <is>
          <t>VÄRMLANDS LÄN</t>
        </is>
      </c>
      <c r="E42" t="inlineStr">
        <is>
          <t>STORFORS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14605-2024</t>
        </is>
      </c>
      <c r="B43" s="1" t="n">
        <v>45396</v>
      </c>
      <c r="C43" s="1" t="n">
        <v>46190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213-2025</t>
        </is>
      </c>
      <c r="B44" s="1" t="n">
        <v>45660</v>
      </c>
      <c r="C44" s="1" t="n">
        <v>46190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2352-2023</t>
        </is>
      </c>
      <c r="B45" s="1" t="n">
        <v>44938</v>
      </c>
      <c r="C45" s="1" t="n">
        <v>46190</v>
      </c>
      <c r="D45" t="inlineStr">
        <is>
          <t>VÄRMLANDS LÄN</t>
        </is>
      </c>
      <c r="E45" t="inlineStr">
        <is>
          <t>STORFORS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4744-2025</t>
        </is>
      </c>
      <c r="B46" s="1" t="n">
        <v>45688</v>
      </c>
      <c r="C46" s="1" t="n">
        <v>46190</v>
      </c>
      <c r="D46" t="inlineStr">
        <is>
          <t>VÄRMLANDS LÄN</t>
        </is>
      </c>
      <c r="E46" t="inlineStr">
        <is>
          <t>STORFORS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4998-2024</t>
        </is>
      </c>
      <c r="B47" s="1" t="n">
        <v>45329</v>
      </c>
      <c r="C47" s="1" t="n">
        <v>46190</v>
      </c>
      <c r="D47" t="inlineStr">
        <is>
          <t>VÄRMLANDS LÄN</t>
        </is>
      </c>
      <c r="E47" t="inlineStr">
        <is>
          <t>STORFORS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24820-2025</t>
        </is>
      </c>
      <c r="B48" s="1" t="n">
        <v>45799.45188657408</v>
      </c>
      <c r="C48" s="1" t="n">
        <v>46190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20085-2025</t>
        </is>
      </c>
      <c r="B49" s="1" t="n">
        <v>45772</v>
      </c>
      <c r="C49" s="1" t="n">
        <v>46190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39623-2025</t>
        </is>
      </c>
      <c r="B50" s="1" t="n">
        <v>45890.57476851852</v>
      </c>
      <c r="C50" s="1" t="n">
        <v>46190</v>
      </c>
      <c r="D50" t="inlineStr">
        <is>
          <t>VÄRMLANDS LÄN</t>
        </is>
      </c>
      <c r="E50" t="inlineStr">
        <is>
          <t>STORFORS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38176-2024</t>
        </is>
      </c>
      <c r="B51" s="1" t="n">
        <v>45545</v>
      </c>
      <c r="C51" s="1" t="n">
        <v>46190</v>
      </c>
      <c r="D51" t="inlineStr">
        <is>
          <t>VÄRMLANDS LÄN</t>
        </is>
      </c>
      <c r="E51" t="inlineStr">
        <is>
          <t>STORFORS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28466-2022</t>
        </is>
      </c>
      <c r="B52" s="1" t="n">
        <v>44747.74182870371</v>
      </c>
      <c r="C52" s="1" t="n">
        <v>46190</v>
      </c>
      <c r="D52" t="inlineStr">
        <is>
          <t>VÄRMLANDS LÄN</t>
        </is>
      </c>
      <c r="E52" t="inlineStr">
        <is>
          <t>STORFORS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33806-2024</t>
        </is>
      </c>
      <c r="B53" s="1" t="n">
        <v>45520.60313657407</v>
      </c>
      <c r="C53" s="1" t="n">
        <v>46190</v>
      </c>
      <c r="D53" t="inlineStr">
        <is>
          <t>VÄRMLANDS LÄN</t>
        </is>
      </c>
      <c r="E53" t="inlineStr">
        <is>
          <t>STORFORS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47713-2024</t>
        </is>
      </c>
      <c r="B54" s="1" t="n">
        <v>45588</v>
      </c>
      <c r="C54" s="1" t="n">
        <v>46190</v>
      </c>
      <c r="D54" t="inlineStr">
        <is>
          <t>VÄRMLANDS LÄN</t>
        </is>
      </c>
      <c r="E54" t="inlineStr">
        <is>
          <t>STORFORS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47624-2023</t>
        </is>
      </c>
      <c r="B55" s="1" t="n">
        <v>45203.51826388889</v>
      </c>
      <c r="C55" s="1" t="n">
        <v>46190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4494-2025</t>
        </is>
      </c>
      <c r="B56" s="1" t="n">
        <v>45686</v>
      </c>
      <c r="C56" s="1" t="n">
        <v>46190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28255-2025</t>
        </is>
      </c>
      <c r="B57" s="1" t="n">
        <v>45818.54848379629</v>
      </c>
      <c r="C57" s="1" t="n">
        <v>46190</v>
      </c>
      <c r="D57" t="inlineStr">
        <is>
          <t>VÄRMLANDS LÄN</t>
        </is>
      </c>
      <c r="E57" t="inlineStr">
        <is>
          <t>STORFORS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54190-2023</t>
        </is>
      </c>
      <c r="B58" s="1" t="n">
        <v>45232</v>
      </c>
      <c r="C58" s="1" t="n">
        <v>46190</v>
      </c>
      <c r="D58" t="inlineStr">
        <is>
          <t>VÄRMLANDS LÄN</t>
        </is>
      </c>
      <c r="E58" t="inlineStr">
        <is>
          <t>STORFORS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2037-2023</t>
        </is>
      </c>
      <c r="B59" s="1" t="n">
        <v>44939.58351851852</v>
      </c>
      <c r="C59" s="1" t="n">
        <v>46190</v>
      </c>
      <c r="D59" t="inlineStr">
        <is>
          <t>VÄRMLANDS LÄN</t>
        </is>
      </c>
      <c r="E59" t="inlineStr">
        <is>
          <t>STORFORS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21929-2023</t>
        </is>
      </c>
      <c r="B60" s="1" t="n">
        <v>45068</v>
      </c>
      <c r="C60" s="1" t="n">
        <v>46190</v>
      </c>
      <c r="D60" t="inlineStr">
        <is>
          <t>VÄRMLANDS LÄN</t>
        </is>
      </c>
      <c r="E60" t="inlineStr">
        <is>
          <t>STORFORS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59449-2022</t>
        </is>
      </c>
      <c r="B61" s="1" t="n">
        <v>44907.40783564815</v>
      </c>
      <c r="C61" s="1" t="n">
        <v>46190</v>
      </c>
      <c r="D61" t="inlineStr">
        <is>
          <t>VÄRMLANDS LÄN</t>
        </is>
      </c>
      <c r="E61" t="inlineStr">
        <is>
          <t>STORFORS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19324-2022</t>
        </is>
      </c>
      <c r="B62" s="1" t="n">
        <v>44692.5990625</v>
      </c>
      <c r="C62" s="1" t="n">
        <v>46190</v>
      </c>
      <c r="D62" t="inlineStr">
        <is>
          <t>VÄRMLANDS LÄN</t>
        </is>
      </c>
      <c r="E62" t="inlineStr">
        <is>
          <t>STORFORS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17756-2023</t>
        </is>
      </c>
      <c r="B63" s="1" t="n">
        <v>45037.4796412037</v>
      </c>
      <c r="C63" s="1" t="n">
        <v>46190</v>
      </c>
      <c r="D63" t="inlineStr">
        <is>
          <t>VÄRMLANDS LÄN</t>
        </is>
      </c>
      <c r="E63" t="inlineStr">
        <is>
          <t>STORFORS</t>
        </is>
      </c>
      <c r="G63" t="n">
        <v>8.1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41479-2024</t>
        </is>
      </c>
      <c r="B64" s="1" t="n">
        <v>45560</v>
      </c>
      <c r="C64" s="1" t="n">
        <v>46190</v>
      </c>
      <c r="D64" t="inlineStr">
        <is>
          <t>VÄRMLANDS LÄN</t>
        </is>
      </c>
      <c r="E64" t="inlineStr">
        <is>
          <t>STORFORS</t>
        </is>
      </c>
      <c r="F64" t="inlineStr">
        <is>
          <t>Naturvårdsverket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29002-2023</t>
        </is>
      </c>
      <c r="B65" s="1" t="n">
        <v>45104.64762731481</v>
      </c>
      <c r="C65" s="1" t="n">
        <v>46190</v>
      </c>
      <c r="D65" t="inlineStr">
        <is>
          <t>VÄRMLANDS LÄN</t>
        </is>
      </c>
      <c r="E65" t="inlineStr">
        <is>
          <t>STORFORS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16359-2023</t>
        </is>
      </c>
      <c r="B66" s="1" t="n">
        <v>45028.72045138889</v>
      </c>
      <c r="C66" s="1" t="n">
        <v>46190</v>
      </c>
      <c r="D66" t="inlineStr">
        <is>
          <t>VÄRMLANDS LÄN</t>
        </is>
      </c>
      <c r="E66" t="inlineStr">
        <is>
          <t>STORFORS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15152-2022</t>
        </is>
      </c>
      <c r="B67" s="1" t="n">
        <v>44658.46916666667</v>
      </c>
      <c r="C67" s="1" t="n">
        <v>46190</v>
      </c>
      <c r="D67" t="inlineStr">
        <is>
          <t>VÄRMLANDS LÄN</t>
        </is>
      </c>
      <c r="E67" t="inlineStr">
        <is>
          <t>STORFORS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47732-2024</t>
        </is>
      </c>
      <c r="B68" s="1" t="n">
        <v>45588.50700231481</v>
      </c>
      <c r="C68" s="1" t="n">
        <v>46190</v>
      </c>
      <c r="D68" t="inlineStr">
        <is>
          <t>VÄRMLANDS LÄN</t>
        </is>
      </c>
      <c r="E68" t="inlineStr">
        <is>
          <t>STORFORS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53202-2023</t>
        </is>
      </c>
      <c r="B69" s="1" t="n">
        <v>45229</v>
      </c>
      <c r="C69" s="1" t="n">
        <v>46190</v>
      </c>
      <c r="D69" t="inlineStr">
        <is>
          <t>VÄRMLANDS LÄN</t>
        </is>
      </c>
      <c r="E69" t="inlineStr">
        <is>
          <t>STORFORS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26189-2024</t>
        </is>
      </c>
      <c r="B70" s="1" t="n">
        <v>45468</v>
      </c>
      <c r="C70" s="1" t="n">
        <v>46190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6856-2025</t>
        </is>
      </c>
      <c r="B71" s="1" t="n">
        <v>45700</v>
      </c>
      <c r="C71" s="1" t="n">
        <v>46190</v>
      </c>
      <c r="D71" t="inlineStr">
        <is>
          <t>VÄRMLANDS LÄN</t>
        </is>
      </c>
      <c r="E71" t="inlineStr">
        <is>
          <t>STORFORS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35431-2025</t>
        </is>
      </c>
      <c r="B72" s="1" t="n">
        <v>45855.44628472222</v>
      </c>
      <c r="C72" s="1" t="n">
        <v>46190</v>
      </c>
      <c r="D72" t="inlineStr">
        <is>
          <t>VÄRMLANDS LÄN</t>
        </is>
      </c>
      <c r="E72" t="inlineStr">
        <is>
          <t>STORFORS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58586-2024</t>
        </is>
      </c>
      <c r="B73" s="1" t="n">
        <v>45635.50215277778</v>
      </c>
      <c r="C73" s="1" t="n">
        <v>46190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8613-2024</t>
        </is>
      </c>
      <c r="B74" s="1" t="n">
        <v>45355</v>
      </c>
      <c r="C74" s="1" t="n">
        <v>46190</v>
      </c>
      <c r="D74" t="inlineStr">
        <is>
          <t>VÄRMLANDS LÄN</t>
        </is>
      </c>
      <c r="E74" t="inlineStr">
        <is>
          <t>STORFORS</t>
        </is>
      </c>
      <c r="F74" t="inlineStr">
        <is>
          <t>Kyrkan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36697-2023</t>
        </is>
      </c>
      <c r="B75" s="1" t="n">
        <v>45153.63313657408</v>
      </c>
      <c r="C75" s="1" t="n">
        <v>46190</v>
      </c>
      <c r="D75" t="inlineStr">
        <is>
          <t>VÄRMLANDS LÄN</t>
        </is>
      </c>
      <c r="E75" t="inlineStr">
        <is>
          <t>STORFORS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55234-2025</t>
        </is>
      </c>
      <c r="B76" s="1" t="n">
        <v>45968.61171296296</v>
      </c>
      <c r="C76" s="1" t="n">
        <v>46190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33273-2025</t>
        </is>
      </c>
      <c r="B77" s="1" t="n">
        <v>45840.68797453704</v>
      </c>
      <c r="C77" s="1" t="n">
        <v>46190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33143-2025</t>
        </is>
      </c>
      <c r="B78" s="1" t="n">
        <v>45840.52465277778</v>
      </c>
      <c r="C78" s="1" t="n">
        <v>46190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55818-2025</t>
        </is>
      </c>
      <c r="B79" s="1" t="n">
        <v>45972</v>
      </c>
      <c r="C79" s="1" t="n">
        <v>46190</v>
      </c>
      <c r="D79" t="inlineStr">
        <is>
          <t>VÄRMLANDS LÄN</t>
        </is>
      </c>
      <c r="E79" t="inlineStr">
        <is>
          <t>STORFORS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37145-2025</t>
        </is>
      </c>
      <c r="B80" s="1" t="n">
        <v>45875.56288194445</v>
      </c>
      <c r="C80" s="1" t="n">
        <v>46190</v>
      </c>
      <c r="D80" t="inlineStr">
        <is>
          <t>VÄRMLANDS LÄN</t>
        </is>
      </c>
      <c r="E80" t="inlineStr">
        <is>
          <t>STORFORS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56525-2025</t>
        </is>
      </c>
      <c r="B81" s="1" t="n">
        <v>45975.46569444444</v>
      </c>
      <c r="C81" s="1" t="n">
        <v>46190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56206-2025</t>
        </is>
      </c>
      <c r="B82" s="1" t="n">
        <v>45974.47096064815</v>
      </c>
      <c r="C82" s="1" t="n">
        <v>46190</v>
      </c>
      <c r="D82" t="inlineStr">
        <is>
          <t>VÄRMLANDS LÄN</t>
        </is>
      </c>
      <c r="E82" t="inlineStr">
        <is>
          <t>STORFORS</t>
        </is>
      </c>
      <c r="F82" t="inlineStr">
        <is>
          <t>Bergvik skog väst AB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37716-2025</t>
        </is>
      </c>
      <c r="B83" s="1" t="n">
        <v>45881</v>
      </c>
      <c r="C83" s="1" t="n">
        <v>46190</v>
      </c>
      <c r="D83" t="inlineStr">
        <is>
          <t>VÄRMLANDS LÄN</t>
        </is>
      </c>
      <c r="E83" t="inlineStr">
        <is>
          <t>STORFORS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58451-2025</t>
        </is>
      </c>
      <c r="B84" s="1" t="n">
        <v>45985.62826388889</v>
      </c>
      <c r="C84" s="1" t="n">
        <v>46190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3452-2025</t>
        </is>
      </c>
      <c r="B85" s="1" t="n">
        <v>45680.4753125</v>
      </c>
      <c r="C85" s="1" t="n">
        <v>46190</v>
      </c>
      <c r="D85" t="inlineStr">
        <is>
          <t>VÄRMLANDS LÄN</t>
        </is>
      </c>
      <c r="E85" t="inlineStr">
        <is>
          <t>STORFORS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2342-2023</t>
        </is>
      </c>
      <c r="B86" s="1" t="n">
        <v>44938</v>
      </c>
      <c r="C86" s="1" t="n">
        <v>46190</v>
      </c>
      <c r="D86" t="inlineStr">
        <is>
          <t>VÄRMLANDS LÄN</t>
        </is>
      </c>
      <c r="E86" t="inlineStr">
        <is>
          <t>STORFORS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487-2023</t>
        </is>
      </c>
      <c r="B87" s="1" t="n">
        <v>44930.29883101852</v>
      </c>
      <c r="C87" s="1" t="n">
        <v>46190</v>
      </c>
      <c r="D87" t="inlineStr">
        <is>
          <t>VÄRMLANDS LÄN</t>
        </is>
      </c>
      <c r="E87" t="inlineStr">
        <is>
          <t>STORFORS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46612-2025</t>
        </is>
      </c>
      <c r="B88" s="1" t="n">
        <v>45926</v>
      </c>
      <c r="C88" s="1" t="n">
        <v>46190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11.1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60511-2025</t>
        </is>
      </c>
      <c r="B89" s="1" t="n">
        <v>45995.63336805555</v>
      </c>
      <c r="C89" s="1" t="n">
        <v>46190</v>
      </c>
      <c r="D89" t="inlineStr">
        <is>
          <t>VÄRMLANDS LÄN</t>
        </is>
      </c>
      <c r="E89" t="inlineStr">
        <is>
          <t>STORFORS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61149-2025</t>
        </is>
      </c>
      <c r="B90" s="1" t="n">
        <v>46000.53810185185</v>
      </c>
      <c r="C90" s="1" t="n">
        <v>46190</v>
      </c>
      <c r="D90" t="inlineStr">
        <is>
          <t>VÄRMLANDS LÄN</t>
        </is>
      </c>
      <c r="E90" t="inlineStr">
        <is>
          <t>STORFORS</t>
        </is>
      </c>
      <c r="F90" t="inlineStr">
        <is>
          <t>Naturvårdsverket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61123-2025</t>
        </is>
      </c>
      <c r="B91" s="1" t="n">
        <v>46000.46875</v>
      </c>
      <c r="C91" s="1" t="n">
        <v>46190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63572-2025</t>
        </is>
      </c>
      <c r="B92" s="1" t="n">
        <v>46013.66006944444</v>
      </c>
      <c r="C92" s="1" t="n">
        <v>46190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62987-2025</t>
        </is>
      </c>
      <c r="B93" s="1" t="n">
        <v>46009.4962037037</v>
      </c>
      <c r="C93" s="1" t="n">
        <v>46190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59146-2025</t>
        </is>
      </c>
      <c r="B94" s="1" t="n">
        <v>45988.52269675926</v>
      </c>
      <c r="C94" s="1" t="n">
        <v>46190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49580-2025</t>
        </is>
      </c>
      <c r="B95" s="1" t="n">
        <v>45939.49743055556</v>
      </c>
      <c r="C95" s="1" t="n">
        <v>46190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63080-2025</t>
        </is>
      </c>
      <c r="B96" s="1" t="n">
        <v>46009.66688657407</v>
      </c>
      <c r="C96" s="1" t="n">
        <v>46190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44178-2025</t>
        </is>
      </c>
      <c r="B97" s="1" t="n">
        <v>45915.60693287037</v>
      </c>
      <c r="C97" s="1" t="n">
        <v>46190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1840-2023</t>
        </is>
      </c>
      <c r="B98" s="1" t="n">
        <v>44938.67890046296</v>
      </c>
      <c r="C98" s="1" t="n">
        <v>46190</v>
      </c>
      <c r="D98" t="inlineStr">
        <is>
          <t>VÄRMLANDS LÄN</t>
        </is>
      </c>
      <c r="E98" t="inlineStr">
        <is>
          <t>STORFORS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227-2025</t>
        </is>
      </c>
      <c r="B99" s="1" t="n">
        <v>45660</v>
      </c>
      <c r="C99" s="1" t="n">
        <v>46190</v>
      </c>
      <c r="D99" t="inlineStr">
        <is>
          <t>VÄRMLANDS LÄN</t>
        </is>
      </c>
      <c r="E99" t="inlineStr">
        <is>
          <t>STORFORS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4455-2026</t>
        </is>
      </c>
      <c r="B100" s="1" t="n">
        <v>46045.64204861111</v>
      </c>
      <c r="C100" s="1" t="n">
        <v>46190</v>
      </c>
      <c r="D100" t="inlineStr">
        <is>
          <t>VÄRMLANDS LÄN</t>
        </is>
      </c>
      <c r="E100" t="inlineStr">
        <is>
          <t>STORFORS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48591-2024</t>
        </is>
      </c>
      <c r="B101" s="1" t="n">
        <v>45593.43625</v>
      </c>
      <c r="C101" s="1" t="n">
        <v>46190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4868-2026</t>
        </is>
      </c>
      <c r="B102" s="1" t="n">
        <v>46048.6441550926</v>
      </c>
      <c r="C102" s="1" t="n">
        <v>46190</v>
      </c>
      <c r="D102" t="inlineStr">
        <is>
          <t>VÄRMLANDS LÄN</t>
        </is>
      </c>
      <c r="E102" t="inlineStr">
        <is>
          <t>STORFORS</t>
        </is>
      </c>
      <c r="G102" t="n">
        <v>10.8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61586-2025</t>
        </is>
      </c>
      <c r="B103" s="1" t="n">
        <v>46002</v>
      </c>
      <c r="C103" s="1" t="n">
        <v>46190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52905-2025</t>
        </is>
      </c>
      <c r="B104" s="1" t="n">
        <v>45957</v>
      </c>
      <c r="C104" s="1" t="n">
        <v>46190</v>
      </c>
      <c r="D104" t="inlineStr">
        <is>
          <t>VÄRMLANDS LÄN</t>
        </is>
      </c>
      <c r="E104" t="inlineStr">
        <is>
          <t>STORFORS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7028-2026</t>
        </is>
      </c>
      <c r="B105" s="1" t="n">
        <v>46057.67555555556</v>
      </c>
      <c r="C105" s="1" t="n">
        <v>46190</v>
      </c>
      <c r="D105" t="inlineStr">
        <is>
          <t>VÄRMLANDS LÄN</t>
        </is>
      </c>
      <c r="E105" t="inlineStr">
        <is>
          <t>STORFORS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30587-2023</t>
        </is>
      </c>
      <c r="B106" s="1" t="n">
        <v>45112.33359953704</v>
      </c>
      <c r="C106" s="1" t="n">
        <v>46190</v>
      </c>
      <c r="D106" t="inlineStr">
        <is>
          <t>VÄRMLANDS LÄN</t>
        </is>
      </c>
      <c r="E106" t="inlineStr">
        <is>
          <t>STORFORS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7427-2026</t>
        </is>
      </c>
      <c r="B107" s="1" t="n">
        <v>46059.43177083333</v>
      </c>
      <c r="C107" s="1" t="n">
        <v>46190</v>
      </c>
      <c r="D107" t="inlineStr">
        <is>
          <t>VÄRMLANDS LÄN</t>
        </is>
      </c>
      <c r="E107" t="inlineStr">
        <is>
          <t>STORFORS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7444-2026</t>
        </is>
      </c>
      <c r="B108" s="1" t="n">
        <v>46059.45729166667</v>
      </c>
      <c r="C108" s="1" t="n">
        <v>46190</v>
      </c>
      <c r="D108" t="inlineStr">
        <is>
          <t>VÄRMLANDS LÄN</t>
        </is>
      </c>
      <c r="E108" t="inlineStr">
        <is>
          <t>STORFORS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7447-2026</t>
        </is>
      </c>
      <c r="B109" s="1" t="n">
        <v>46059.46265046296</v>
      </c>
      <c r="C109" s="1" t="n">
        <v>46190</v>
      </c>
      <c r="D109" t="inlineStr">
        <is>
          <t>VÄRMLANDS LÄN</t>
        </is>
      </c>
      <c r="E109" t="inlineStr">
        <is>
          <t>STORFORS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53388-2024</t>
        </is>
      </c>
      <c r="B110" s="1" t="n">
        <v>45614</v>
      </c>
      <c r="C110" s="1" t="n">
        <v>46190</v>
      </c>
      <c r="D110" t="inlineStr">
        <is>
          <t>VÄRMLANDS LÄN</t>
        </is>
      </c>
      <c r="E110" t="inlineStr">
        <is>
          <t>STORFORS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53990-2025</t>
        </is>
      </c>
      <c r="B111" s="1" t="n">
        <v>45961.57934027778</v>
      </c>
      <c r="C111" s="1" t="n">
        <v>46190</v>
      </c>
      <c r="D111" t="inlineStr">
        <is>
          <t>VÄRMLANDS LÄN</t>
        </is>
      </c>
      <c r="E111" t="inlineStr">
        <is>
          <t>STORFORS</t>
        </is>
      </c>
      <c r="F111" t="inlineStr">
        <is>
          <t>Naturvårdsverket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52922-2025</t>
        </is>
      </c>
      <c r="B112" s="1" t="n">
        <v>45957</v>
      </c>
      <c r="C112" s="1" t="n">
        <v>46190</v>
      </c>
      <c r="D112" t="inlineStr">
        <is>
          <t>VÄRMLANDS LÄN</t>
        </is>
      </c>
      <c r="E112" t="inlineStr">
        <is>
          <t>STORFORS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48309-2021</t>
        </is>
      </c>
      <c r="B113" s="1" t="n">
        <v>44450</v>
      </c>
      <c r="C113" s="1" t="n">
        <v>46190</v>
      </c>
      <c r="D113" t="inlineStr">
        <is>
          <t>VÄRMLANDS LÄN</t>
        </is>
      </c>
      <c r="E113" t="inlineStr">
        <is>
          <t>STORFORS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11452-2024</t>
        </is>
      </c>
      <c r="B114" s="1" t="n">
        <v>45372</v>
      </c>
      <c r="C114" s="1" t="n">
        <v>46190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24846-2022</t>
        </is>
      </c>
      <c r="B115" s="1" t="n">
        <v>44728</v>
      </c>
      <c r="C115" s="1" t="n">
        <v>46190</v>
      </c>
      <c r="D115" t="inlineStr">
        <is>
          <t>VÄRMLANDS LÄN</t>
        </is>
      </c>
      <c r="E115" t="inlineStr">
        <is>
          <t>STORFORS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8269-2025</t>
        </is>
      </c>
      <c r="B116" s="1" t="n">
        <v>45708</v>
      </c>
      <c r="C116" s="1" t="n">
        <v>46190</v>
      </c>
      <c r="D116" t="inlineStr">
        <is>
          <t>VÄRMLANDS LÄN</t>
        </is>
      </c>
      <c r="E116" t="inlineStr">
        <is>
          <t>STORFORS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13185-2026</t>
        </is>
      </c>
      <c r="B117" s="1" t="n">
        <v>46093.59226851852</v>
      </c>
      <c r="C117" s="1" t="n">
        <v>46190</v>
      </c>
      <c r="D117" t="inlineStr">
        <is>
          <t>VÄRMLANDS LÄN</t>
        </is>
      </c>
      <c r="E117" t="inlineStr">
        <is>
          <t>STORFORS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13960-2026</t>
        </is>
      </c>
      <c r="B118" s="1" t="n">
        <v>46098.56423611111</v>
      </c>
      <c r="C118" s="1" t="n">
        <v>46190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14435-2026</t>
        </is>
      </c>
      <c r="B119" s="1" t="n">
        <v>46100.48894675926</v>
      </c>
      <c r="C119" s="1" t="n">
        <v>46190</v>
      </c>
      <c r="D119" t="inlineStr">
        <is>
          <t>VÄRMLANDS LÄN</t>
        </is>
      </c>
      <c r="E119" t="inlineStr">
        <is>
          <t>STORFORS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16421-2026</t>
        </is>
      </c>
      <c r="B120" s="1" t="n">
        <v>46111.67331018519</v>
      </c>
      <c r="C120" s="1" t="n">
        <v>46190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21959-2026</t>
        </is>
      </c>
      <c r="B121" s="1" t="n">
        <v>46152.41528935185</v>
      </c>
      <c r="C121" s="1" t="n">
        <v>46190</v>
      </c>
      <c r="D121" t="inlineStr">
        <is>
          <t>VÄRMLANDS LÄN</t>
        </is>
      </c>
      <c r="E121" t="inlineStr">
        <is>
          <t>STORFORS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41214-2023</t>
        </is>
      </c>
      <c r="B122" s="1" t="n">
        <v>45174</v>
      </c>
      <c r="C122" s="1" t="n">
        <v>46190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51.6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26230-2024</t>
        </is>
      </c>
      <c r="B123" s="1" t="n">
        <v>45468</v>
      </c>
      <c r="C123" s="1" t="n">
        <v>46190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8639-2025</t>
        </is>
      </c>
      <c r="B124" s="1" t="n">
        <v>45711.87692129629</v>
      </c>
      <c r="C124" s="1" t="n">
        <v>46190</v>
      </c>
      <c r="D124" t="inlineStr">
        <is>
          <t>VÄRMLANDS LÄN</t>
        </is>
      </c>
      <c r="E124" t="inlineStr">
        <is>
          <t>STORFORS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41325-2023</t>
        </is>
      </c>
      <c r="B125" s="1" t="n">
        <v>45174.65024305556</v>
      </c>
      <c r="C125" s="1" t="n">
        <v>46190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47894-2023</t>
        </is>
      </c>
      <c r="B126" s="1" t="n">
        <v>45204</v>
      </c>
      <c r="C126" s="1" t="n">
        <v>46190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18757-2026</t>
        </is>
      </c>
      <c r="B127" s="1" t="n">
        <v>46128.56060185185</v>
      </c>
      <c r="C127" s="1" t="n">
        <v>46190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24442-2026</t>
        </is>
      </c>
      <c r="B128" s="1" t="n">
        <v>46170.34097222222</v>
      </c>
      <c r="C128" s="1" t="n">
        <v>46190</v>
      </c>
      <c r="D128" t="inlineStr">
        <is>
          <t>VÄRMLANDS LÄN</t>
        </is>
      </c>
      <c r="E128" t="inlineStr">
        <is>
          <t>STORFORS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44897.66182870371</v>
      </c>
      <c r="C129" s="1" t="n">
        <v>46190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39025-2023</t>
        </is>
      </c>
      <c r="B130" s="1" t="n">
        <v>45163</v>
      </c>
      <c r="C130" s="1" t="n">
        <v>46190</v>
      </c>
      <c r="D130" t="inlineStr">
        <is>
          <t>VÄRMLANDS LÄN</t>
        </is>
      </c>
      <c r="E130" t="inlineStr">
        <is>
          <t>STORFORS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28467-2022</t>
        </is>
      </c>
      <c r="B131" s="1" t="n">
        <v>44747.74592592593</v>
      </c>
      <c r="C131" s="1" t="n">
        <v>46190</v>
      </c>
      <c r="D131" t="inlineStr">
        <is>
          <t>VÄRMLANDS LÄN</t>
        </is>
      </c>
      <c r="E131" t="inlineStr">
        <is>
          <t>STORFORS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2363-2023</t>
        </is>
      </c>
      <c r="B132" s="1" t="n">
        <v>44938</v>
      </c>
      <c r="C132" s="1" t="n">
        <v>46190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26067-2026</t>
        </is>
      </c>
      <c r="B133" s="1" t="n">
        <v>46181.60987268519</v>
      </c>
      <c r="C133" s="1" t="n">
        <v>46190</v>
      </c>
      <c r="D133" t="inlineStr">
        <is>
          <t>VÄRMLANDS LÄN</t>
        </is>
      </c>
      <c r="E133" t="inlineStr">
        <is>
          <t>STORFORS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26075-2026</t>
        </is>
      </c>
      <c r="B134" s="1" t="n">
        <v>46181.61737268518</v>
      </c>
      <c r="C134" s="1" t="n">
        <v>46190</v>
      </c>
      <c r="D134" t="inlineStr">
        <is>
          <t>VÄRMLANDS LÄN</t>
        </is>
      </c>
      <c r="E134" t="inlineStr">
        <is>
          <t>STORFORS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52834-2023</t>
        </is>
      </c>
      <c r="B135" s="1" t="n">
        <v>45226.41116898148</v>
      </c>
      <c r="C135" s="1" t="n">
        <v>46190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13288-2024</t>
        </is>
      </c>
      <c r="B136" s="1" t="n">
        <v>45386</v>
      </c>
      <c r="C136" s="1" t="n">
        <v>46190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20311-2026</t>
        </is>
      </c>
      <c r="B137" s="1" t="n">
        <v>46139.58759259259</v>
      </c>
      <c r="C137" s="1" t="n">
        <v>46190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22341-2025</t>
        </is>
      </c>
      <c r="B138" s="1" t="n">
        <v>45786</v>
      </c>
      <c r="C138" s="1" t="n">
        <v>46190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20453-2026</t>
        </is>
      </c>
      <c r="B139" s="1" t="n">
        <v>46140.4268287037</v>
      </c>
      <c r="C139" s="1" t="n">
        <v>46190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16.1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61328-2025</t>
        </is>
      </c>
      <c r="B140" s="1" t="n">
        <v>46001.32983796296</v>
      </c>
      <c r="C140" s="1" t="n">
        <v>46190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24406-2026</t>
        </is>
      </c>
      <c r="B141" s="1" t="n">
        <v>46169.67174768518</v>
      </c>
      <c r="C141" s="1" t="n">
        <v>46190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20527-2026</t>
        </is>
      </c>
      <c r="B142" s="1" t="n">
        <v>46140.55726851852</v>
      </c>
      <c r="C142" s="1" t="n">
        <v>46190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20533-2026</t>
        </is>
      </c>
      <c r="B143" s="1" t="n">
        <v>46140.56315972222</v>
      </c>
      <c r="C143" s="1" t="n">
        <v>46190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20543-2026</t>
        </is>
      </c>
      <c r="B144" s="1" t="n">
        <v>46140.57645833334</v>
      </c>
      <c r="C144" s="1" t="n">
        <v>46190</v>
      </c>
      <c r="D144" t="inlineStr">
        <is>
          <t>VÄRMLANDS LÄN</t>
        </is>
      </c>
      <c r="E144" t="inlineStr">
        <is>
          <t>STORFORS</t>
        </is>
      </c>
      <c r="F144" t="inlineStr">
        <is>
          <t>Bergvik skog väst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5881-2025</t>
        </is>
      </c>
      <c r="B145" s="1" t="n">
        <v>45695</v>
      </c>
      <c r="C145" s="1" t="n">
        <v>46190</v>
      </c>
      <c r="D145" t="inlineStr">
        <is>
          <t>VÄRMLANDS LÄN</t>
        </is>
      </c>
      <c r="E145" t="inlineStr">
        <is>
          <t>STORFORS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20465-2026</t>
        </is>
      </c>
      <c r="B146" s="1" t="n">
        <v>46140.45244212963</v>
      </c>
      <c r="C146" s="1" t="n">
        <v>46190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20749-2026</t>
        </is>
      </c>
      <c r="B147" s="1" t="n">
        <v>46141.59365740741</v>
      </c>
      <c r="C147" s="1" t="n">
        <v>46190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20449-2026</t>
        </is>
      </c>
      <c r="B148" s="1" t="n">
        <v>46140.41706018519</v>
      </c>
      <c r="C148" s="1" t="n">
        <v>46190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21035-2026</t>
        </is>
      </c>
      <c r="B149" s="1" t="n">
        <v>46146.34141203704</v>
      </c>
      <c r="C149" s="1" t="n">
        <v>46190</v>
      </c>
      <c r="D149" t="inlineStr">
        <is>
          <t>VÄRMLANDS LÄN</t>
        </is>
      </c>
      <c r="E149" t="inlineStr">
        <is>
          <t>STORFORS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2026-06-17T09:19:11Z</dcterms:created>
  <dcterms:modified xmlns:dcterms="http://purl.org/dc/terms/" xmlns:xsi="http://www.w3.org/2001/XMLSchema-instance" xsi:type="dcterms:W3CDTF">2026-06-17T09:19:11Z</dcterms:modified>
</cp:coreProperties>
</file>