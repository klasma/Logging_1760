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46319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46319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44895</v>
      </c>
      <c r="E4" s="1" t="n">
        <v>46319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6.3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Knölspindel</t>
        </is>
      </c>
      <c r="W4">
        <f>HYPERLINK("https://klasma.github.io/Logging_1760/artfynd/A 57209-2022 artfynd.xlsx", "A 57209-2022")</f>
        <v/>
      </c>
      <c r="X4">
        <f>HYPERLINK("https://klasma.github.io/Logging_1760/kartor/A 57209-2022 karta.png", "A 57209-2022")</f>
        <v/>
      </c>
      <c r="Y4">
        <f>HYPERLINK("https://klasma.github.io/Logging_1760/kartor_geotiff/A 57209-2022 georefererad karta.tif", "A 57209-2022")</f>
        <v/>
      </c>
      <c r="AA4">
        <f>HYPERLINK("https://klasma.github.io/Logging_1760/klagomål/A 57209-2022 FSC-klagomål.docx", "A 57209-2022")</f>
        <v/>
      </c>
      <c r="AB4">
        <f>HYPERLINK("https://klasma.github.io/Logging_1760/klagomålsmail/A 57209-2022 FSC-klagomål mail.docx", "A 57209-2022")</f>
        <v/>
      </c>
      <c r="AC4">
        <f>HYPERLINK("https://klasma.github.io/Logging_1760/tillsyn/A 57209-2022 tillsynsbegäran.docx", "A 57209-2022")</f>
        <v/>
      </c>
      <c r="AD4">
        <f>HYPERLINK("https://klasma.github.io/Logging_1760/tillsynsmail/A 57209-2022 tillsynsbegäran mail.docx", "A 57209-2022")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46319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21111-2025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45777</v>
      </c>
      <c r="E6" s="1" t="n">
        <v>46319</v>
      </c>
      <c r="F6" t="inlineStr">
        <is>
          <t>VÄRMLANDS LÄN</t>
        </is>
      </c>
      <c r="G6" t="inlineStr">
        <is>
          <t>STORFORS</t>
        </is>
      </c>
      <c r="I6" t="n">
        <v>1.9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Korallblylav</t>
        </is>
      </c>
      <c r="W6">
        <f>HYPERLINK("https://klasma.github.io/Logging_1760/artfynd/A 21111-2025 artfynd.xlsx", "A 21111-2025")</f>
        <v/>
      </c>
      <c r="X6">
        <f>HYPERLINK("https://klasma.github.io/Logging_1760/kartor/A 21111-2025 karta.png", "A 21111-2025")</f>
        <v/>
      </c>
      <c r="Y6">
        <f>HYPERLINK("https://klasma.github.io/Logging_1760/kartor_geotiff/A 21111-2025 georefererad karta.tif", "A 21111-2025")</f>
        <v/>
      </c>
      <c r="AA6">
        <f>HYPERLINK("https://klasma.github.io/Logging_1760/klagomål/A 21111-2025 FSC-klagomål.docx", "A 21111-2025")</f>
        <v/>
      </c>
      <c r="AB6">
        <f>HYPERLINK("https://klasma.github.io/Logging_1760/klagomålsmail/A 21111-2025 FSC-klagomål mail.docx", "A 21111-2025")</f>
        <v/>
      </c>
      <c r="AC6">
        <f>HYPERLINK("https://klasma.github.io/Logging_1760/tillsyn/A 21111-2025 tillsynsbegäran.docx", "A 21111-2025")</f>
        <v/>
      </c>
      <c r="AD6">
        <f>HYPERLINK("https://klasma.github.io/Logging_1760/tillsynsmail/A 21111-2025 tillsynsbegäran mail.docx", "A 21111-2025")</f>
        <v/>
      </c>
    </row>
    <row r="7" ht="15" customHeight="1">
      <c r="A7" t="inlineStr">
        <is>
          <t>A 39769-2026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46319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10.9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Igelkott</t>
        </is>
      </c>
      <c r="W7">
        <f>HYPERLINK("https://klasma.github.io/Logging_1760/artfynd/A 39769-2026 artfynd.xlsx", "A 39769-2026")</f>
        <v/>
      </c>
      <c r="X7">
        <f>HYPERLINK("https://klasma.github.io/Logging_1760/kartor/A 39769-2026 karta.png", "A 39769-2026")</f>
        <v/>
      </c>
      <c r="Y7">
        <f>HYPERLINK("https://klasma.github.io/Logging_1760/kartor_geotiff/A 39769-2026 georefererad karta.tif", "A 39769-2026")</f>
        <v/>
      </c>
      <c r="AA7">
        <f>HYPERLINK("https://klasma.github.io/Logging_1760/klagomål/A 39769-2026 FSC-klagomål.docx", "A 39769-2026")</f>
        <v/>
      </c>
      <c r="AB7">
        <f>HYPERLINK("https://klasma.github.io/Logging_1760/klagomålsmail/A 39769-2026 FSC-klagomål mail.docx", "A 39769-2026")</f>
        <v/>
      </c>
      <c r="AC7">
        <f>HYPERLINK("https://klasma.github.io/Logging_1760/tillsyn/A 39769-2026 tillsynsbegäran.docx", "A 39769-2026")</f>
        <v/>
      </c>
      <c r="AD7">
        <f>HYPERLINK("https://klasma.github.io/Logging_1760/tillsynsmail/A 39769-2026 tillsynsbegäran mail.docx", "A 39769-2026")</f>
        <v/>
      </c>
    </row>
    <row r="8" ht="15" customHeight="1">
      <c r="A8" t="inlineStr">
        <is>
          <t>A 37716-2025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46319</v>
      </c>
      <c r="F8" t="inlineStr">
        <is>
          <t>VÄRMLANDS LÄN</t>
        </is>
      </c>
      <c r="G8" t="inlineStr">
        <is>
          <t>STORFORS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Ullticka</t>
        </is>
      </c>
      <c r="W8">
        <f>HYPERLINK("https://klasma.github.io/Logging_1760/artfynd/A 37716-2025 artfynd.xlsx", "A 37716-2025")</f>
        <v/>
      </c>
      <c r="X8">
        <f>HYPERLINK("https://klasma.github.io/Logging_1760/kartor/A 37716-2025 karta.png", "A 37716-2025")</f>
        <v/>
      </c>
      <c r="Y8">
        <f>HYPERLINK("https://klasma.github.io/Logging_1760/kartor_geotiff/A 37716-2025 georefererad karta.tif", "A 37716-2025")</f>
        <v/>
      </c>
      <c r="AA8">
        <f>HYPERLINK("https://klasma.github.io/Logging_1760/klagomål/A 37716-2025 FSC-klagomål.docx", "A 37716-2025")</f>
        <v/>
      </c>
      <c r="AB8">
        <f>HYPERLINK("https://klasma.github.io/Logging_1760/klagomålsmail/A 37716-2025 FSC-klagomål mail.docx", "A 37716-2025")</f>
        <v/>
      </c>
      <c r="AC8">
        <f>HYPERLINK("https://klasma.github.io/Logging_1760/tillsyn/A 37716-2025 tillsynsbegäran.docx", "A 37716-2025")</f>
        <v/>
      </c>
      <c r="AD8">
        <f>HYPERLINK("https://klasma.github.io/Logging_1760/tillsynsmail/A 37716-2025 tillsynsbegäran mail.docx", "A 37716-2025")</f>
        <v/>
      </c>
    </row>
    <row r="9" ht="15" customHeight="1">
      <c r="A9" t="inlineStr">
        <is>
          <t>A 46376-2023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45197</v>
      </c>
      <c r="E9" s="1" t="n">
        <v>46319</v>
      </c>
      <c r="F9" t="inlineStr">
        <is>
          <t>VÄRMLANDS LÄN</t>
        </is>
      </c>
      <c r="G9" t="inlineStr">
        <is>
          <t>STORFORS</t>
        </is>
      </c>
      <c r="I9" t="n">
        <v>0.7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HYPERLINK("https://klasma.github.io/Logging_1760/artfynd/A 46376-2023 artfynd.xlsx", "A 46376-2023")</f>
        <v/>
      </c>
      <c r="X9">
        <f>HYPERLINK("https://klasma.github.io/Logging_1760/kartor/A 46376-2023 karta.png", "A 46376-2023")</f>
        <v/>
      </c>
      <c r="Y9">
        <f>HYPERLINK("https://klasma.github.io/Logging_1760/kartor_geotiff/A 46376-2023 georefererad karta.tif", "A 46376-2023")</f>
        <v/>
      </c>
      <c r="AA9">
        <f>HYPERLINK("https://klasma.github.io/Logging_1760/klagomål/A 46376-2023 FSC-klagomål.docx", "A 46376-2023")</f>
        <v/>
      </c>
      <c r="AB9">
        <f>HYPERLINK("https://klasma.github.io/Logging_1760/klagomålsmail/A 46376-2023 FSC-klagomål mail.docx", "A 46376-2023")</f>
        <v/>
      </c>
      <c r="AC9">
        <f>HYPERLINK("https://klasma.github.io/Logging_1760/tillsyn/A 46376-2023 tillsynsbegäran.docx", "A 46376-2023")</f>
        <v/>
      </c>
      <c r="AD9">
        <f>HYPERLINK("https://klasma.github.io/Logging_1760/tillsynsmail/A 46376-2023 tillsynsbegäran mail.docx", "A 46376-2023")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46319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64815-2021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44512</v>
      </c>
      <c r="E11" s="1" t="n">
        <v>46319</v>
      </c>
      <c r="F11" t="inlineStr">
        <is>
          <t>VÄRMLANDS LÄN</t>
        </is>
      </c>
      <c r="G11" t="inlineStr">
        <is>
          <t>STORFORS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35084-2022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46319</v>
      </c>
      <c r="F12" t="inlineStr">
        <is>
          <t>VÄRMLANDS LÄN</t>
        </is>
      </c>
      <c r="G12" t="inlineStr">
        <is>
          <t>STORFORS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33307-2022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44788</v>
      </c>
      <c r="E13" s="1" t="n">
        <v>46319</v>
      </c>
      <c r="F13" t="inlineStr">
        <is>
          <t>VÄRMLANDS LÄN</t>
        </is>
      </c>
      <c r="G13" t="inlineStr">
        <is>
          <t>STORFORS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44841</v>
      </c>
      <c r="E14" s="1" t="n">
        <v>46319</v>
      </c>
      <c r="F14" t="inlineStr">
        <is>
          <t>VÄRMLANDS LÄN</t>
        </is>
      </c>
      <c r="G14" t="inlineStr">
        <is>
          <t>STORFORS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64814-2021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46319</v>
      </c>
      <c r="F15" t="inlineStr">
        <is>
          <t>VÄRMLANDS LÄN</t>
        </is>
      </c>
      <c r="G15" t="inlineStr">
        <is>
          <t>STORFORS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46319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46319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45680</v>
      </c>
      <c r="E18" s="1" t="n">
        <v>46319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46319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39623-2025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45890</v>
      </c>
      <c r="E20" s="1" t="n">
        <v>46319</v>
      </c>
      <c r="F20" t="inlineStr">
        <is>
          <t>VÄRMLANDS LÄN</t>
        </is>
      </c>
      <c r="G20" t="inlineStr">
        <is>
          <t>STORFORS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44938</v>
      </c>
      <c r="E21" s="1" t="n">
        <v>46319</v>
      </c>
      <c r="F21" t="inlineStr">
        <is>
          <t>VÄRMLANDS LÄN</t>
        </is>
      </c>
      <c r="G21" t="inlineStr">
        <is>
          <t>STORFORS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13795-2023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45007</v>
      </c>
      <c r="E22" s="1" t="n">
        <v>46319</v>
      </c>
      <c r="F22" t="inlineStr">
        <is>
          <t>VÄRMLANDS LÄN</t>
        </is>
      </c>
      <c r="G22" t="inlineStr">
        <is>
          <t>STORFORS</t>
        </is>
      </c>
      <c r="H22" t="inlineStr">
        <is>
          <t>Kyrkan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46319</v>
      </c>
      <c r="F23" t="inlineStr">
        <is>
          <t>VÄRMLANDS LÄN</t>
        </is>
      </c>
      <c r="G23" t="inlineStr">
        <is>
          <t>STORFORS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24406-2026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46169</v>
      </c>
      <c r="E24" s="1" t="n">
        <v>46319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24442-2026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46319</v>
      </c>
      <c r="F25" t="inlineStr">
        <is>
          <t>VÄRMLANDS LÄN</t>
        </is>
      </c>
      <c r="G25" t="inlineStr">
        <is>
          <t>STORFORS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44900</v>
      </c>
      <c r="E26" s="1" t="n">
        <v>46319</v>
      </c>
      <c r="F26" t="inlineStr">
        <is>
          <t>VÄRMLANDS LÄN</t>
        </is>
      </c>
      <c r="G26" t="inlineStr">
        <is>
          <t>STORFORS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26067-2026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46319</v>
      </c>
      <c r="F27" t="inlineStr">
        <is>
          <t>VÄRMLANDS LÄN</t>
        </is>
      </c>
      <c r="G27" t="inlineStr">
        <is>
          <t>STORFORS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26075-2026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46319</v>
      </c>
      <c r="F28" t="inlineStr">
        <is>
          <t>VÄRMLANDS LÄN</t>
        </is>
      </c>
      <c r="G28" t="inlineStr">
        <is>
          <t>STORFORS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44907</v>
      </c>
      <c r="E29" s="1" t="n">
        <v>46319</v>
      </c>
      <c r="F29" t="inlineStr">
        <is>
          <t>VÄRMLANDS LÄN</t>
        </is>
      </c>
      <c r="G29" t="inlineStr">
        <is>
          <t>STORFORS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52905-2025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46319</v>
      </c>
      <c r="F30" t="inlineStr">
        <is>
          <t>VÄRMLANDS LÄN</t>
        </is>
      </c>
      <c r="G30" t="inlineStr">
        <is>
          <t>STORFORS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52922-2025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45957</v>
      </c>
      <c r="E31" s="1" t="n">
        <v>46319</v>
      </c>
      <c r="F31" t="inlineStr">
        <is>
          <t>VÄRMLANDS LÄN</t>
        </is>
      </c>
      <c r="G31" t="inlineStr">
        <is>
          <t>STORFORS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53990-2025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45961</v>
      </c>
      <c r="E32" s="1" t="n">
        <v>46319</v>
      </c>
      <c r="F32" t="inlineStr">
        <is>
          <t>VÄRMLANDS LÄN</t>
        </is>
      </c>
      <c r="G32" t="inlineStr">
        <is>
          <t>STORFORS</t>
        </is>
      </c>
      <c r="H32" t="inlineStr">
        <is>
          <t>Naturvårdsverket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55234-2025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45968</v>
      </c>
      <c r="E33" s="1" t="n">
        <v>46319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13636-2024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45390</v>
      </c>
      <c r="E34" s="1" t="n">
        <v>46319</v>
      </c>
      <c r="F34" t="inlineStr">
        <is>
          <t>VÄRMLANDS LÄN</t>
        </is>
      </c>
      <c r="G34" t="inlineStr">
        <is>
          <t>STORFORS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46319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23.6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55818-2025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45972</v>
      </c>
      <c r="E36" s="1" t="n">
        <v>46319</v>
      </c>
      <c r="F36" t="inlineStr">
        <is>
          <t>VÄRMLANDS LÄN</t>
        </is>
      </c>
      <c r="G36" t="inlineStr">
        <is>
          <t>STORFORS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28218-2026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46196</v>
      </c>
      <c r="E37" s="1" t="n">
        <v>46319</v>
      </c>
      <c r="F37" t="inlineStr">
        <is>
          <t>VÄRMLANDS LÄN</t>
        </is>
      </c>
      <c r="G37" t="inlineStr">
        <is>
          <t>STORFORS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56525-2025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45975</v>
      </c>
      <c r="E38" s="1" t="n">
        <v>46319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46319</v>
      </c>
      <c r="F39" t="inlineStr">
        <is>
          <t>VÄRMLANDS LÄN</t>
        </is>
      </c>
      <c r="G39" t="inlineStr">
        <is>
          <t>STORFORS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29444-2026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46203</v>
      </c>
      <c r="E40" s="1" t="n">
        <v>46319</v>
      </c>
      <c r="F40" t="inlineStr">
        <is>
          <t>VÄRMLANDS LÄN</t>
        </is>
      </c>
      <c r="G40" t="inlineStr">
        <is>
          <t>STORFORS</t>
        </is>
      </c>
      <c r="H40" t="inlineStr">
        <is>
          <t>Naturvårdsverket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46319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51.6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39025-2023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46319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29426-2026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46203</v>
      </c>
      <c r="E43" s="1" t="n">
        <v>46319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45468</v>
      </c>
      <c r="E44" s="1" t="n">
        <v>46319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30425-2026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46209</v>
      </c>
      <c r="E45" s="1" t="n">
        <v>46319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28979-2026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46199</v>
      </c>
      <c r="E46" s="1" t="n">
        <v>46319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45995</v>
      </c>
      <c r="E47" s="1" t="n">
        <v>46319</v>
      </c>
      <c r="F47" t="inlineStr">
        <is>
          <t>VÄRMLANDS LÄN</t>
        </is>
      </c>
      <c r="G47" t="inlineStr">
        <is>
          <t>STORFORS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48591-2024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45593</v>
      </c>
      <c r="E48" s="1" t="n">
        <v>46319</v>
      </c>
      <c r="F48" t="inlineStr">
        <is>
          <t>VÄRMLANDS LÄN</t>
        </is>
      </c>
      <c r="G48" t="inlineStr">
        <is>
          <t>STORFORS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46000</v>
      </c>
      <c r="E49" s="1" t="n">
        <v>46319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45520</v>
      </c>
      <c r="E50" s="1" t="n">
        <v>46319</v>
      </c>
      <c r="F50" t="inlineStr">
        <is>
          <t>VÄRMLANDS LÄN</t>
        </is>
      </c>
      <c r="G50" t="inlineStr">
        <is>
          <t>STORFORS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46000</v>
      </c>
      <c r="E51" s="1" t="n">
        <v>46319</v>
      </c>
      <c r="F51" t="inlineStr">
        <is>
          <t>VÄRMLANDS LÄN</t>
        </is>
      </c>
      <c r="G51" t="inlineStr">
        <is>
          <t>STORFORS</t>
        </is>
      </c>
      <c r="H51" t="inlineStr">
        <is>
          <t>Naturvårdsverket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46220</v>
      </c>
      <c r="E52" s="1" t="n">
        <v>46319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46319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53912-2024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46319</v>
      </c>
      <c r="F54" t="inlineStr">
        <is>
          <t>VÄRMLANDS LÄN</t>
        </is>
      </c>
      <c r="G54" t="inlineStr">
        <is>
          <t>STORFORS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45146</v>
      </c>
      <c r="E55" s="1" t="n">
        <v>46319</v>
      </c>
      <c r="F55" t="inlineStr">
        <is>
          <t>VÄRMLANDS LÄN</t>
        </is>
      </c>
      <c r="G55" t="inlineStr">
        <is>
          <t>STORFORS</t>
        </is>
      </c>
      <c r="H55" t="inlineStr">
        <is>
          <t>Kyrkan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31992-2026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46232</v>
      </c>
      <c r="E56" s="1" t="n">
        <v>46319</v>
      </c>
      <c r="F56" t="inlineStr">
        <is>
          <t>VÄRMLANDS LÄN</t>
        </is>
      </c>
      <c r="G56" t="inlineStr">
        <is>
          <t>STORFORS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46013</v>
      </c>
      <c r="E57" s="1" t="n">
        <v>46319</v>
      </c>
      <c r="F57" t="inlineStr">
        <is>
          <t>VÄRMLANDS LÄN</t>
        </is>
      </c>
      <c r="G57" t="inlineStr">
        <is>
          <t>STORFORS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63080-2025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46319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45915</v>
      </c>
      <c r="E59" s="1" t="n">
        <v>46319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45988</v>
      </c>
      <c r="E60" s="1" t="n">
        <v>46319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9.9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46319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46281</v>
      </c>
      <c r="E62" s="1" t="n">
        <v>46319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35.1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46319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45396</v>
      </c>
      <c r="E64" s="1" t="n">
        <v>46319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9.6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45660</v>
      </c>
      <c r="E65" s="1" t="n">
        <v>46319</v>
      </c>
      <c r="F65" t="inlineStr">
        <is>
          <t>VÄRMLANDS LÄN</t>
        </is>
      </c>
      <c r="G65" t="inlineStr">
        <is>
          <t>STORFORS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46319</v>
      </c>
      <c r="F66" t="inlineStr">
        <is>
          <t>VÄRMLANDS LÄN</t>
        </is>
      </c>
      <c r="G66" t="inlineStr">
        <is>
          <t>STORFORS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46048</v>
      </c>
      <c r="E67" s="1" t="n">
        <v>46319</v>
      </c>
      <c r="F67" t="inlineStr">
        <is>
          <t>VÄRMLANDS LÄN</t>
        </is>
      </c>
      <c r="G67" t="inlineStr">
        <is>
          <t>STORFORS</t>
        </is>
      </c>
      <c r="I67" t="n">
        <v>10.8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46319</v>
      </c>
      <c r="F68" t="inlineStr">
        <is>
          <t>VÄRMLANDS LÄN</t>
        </is>
      </c>
      <c r="G68" t="inlineStr">
        <is>
          <t>STORFORS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46319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37968-2026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46319</v>
      </c>
      <c r="F70" t="inlineStr">
        <is>
          <t>VÄRMLANDS LÄN</t>
        </is>
      </c>
      <c r="G70" t="inlineStr">
        <is>
          <t>STORFORS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46319</v>
      </c>
      <c r="F71" t="inlineStr">
        <is>
          <t>VÄRMLANDS LÄN</t>
        </is>
      </c>
      <c r="G71" t="inlineStr">
        <is>
          <t>STORFORS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46289</v>
      </c>
      <c r="E72" s="1" t="n">
        <v>46319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28.9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39804-2026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46290</v>
      </c>
      <c r="E73" s="1" t="n">
        <v>46319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19.5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46319</v>
      </c>
      <c r="F74" t="inlineStr">
        <is>
          <t>VÄRMLANDS LÄN</t>
        </is>
      </c>
      <c r="G74" t="inlineStr">
        <is>
          <t>STORFORS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46319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46319</v>
      </c>
      <c r="F76" t="inlineStr">
        <is>
          <t>VÄRMLANDS LÄN</t>
        </is>
      </c>
      <c r="G76" t="inlineStr">
        <is>
          <t>STORFORS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46319</v>
      </c>
      <c r="F77" t="inlineStr">
        <is>
          <t>VÄRMLANDS LÄN</t>
        </is>
      </c>
      <c r="G77" t="inlineStr">
        <is>
          <t>STORFORS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40098-2026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46293</v>
      </c>
      <c r="E78" s="1" t="n">
        <v>46319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8.800000000000001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46293</v>
      </c>
      <c r="E79" s="1" t="n">
        <v>46319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46293</v>
      </c>
      <c r="E80" s="1" t="n">
        <v>46319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45818</v>
      </c>
      <c r="E81" s="1" t="n">
        <v>46319</v>
      </c>
      <c r="F81" t="inlineStr">
        <is>
          <t>VÄRMLANDS LÄN</t>
        </is>
      </c>
      <c r="G81" t="inlineStr">
        <is>
          <t>STORFORS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40058-2026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46293</v>
      </c>
      <c r="E82" s="1" t="n">
        <v>46319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12.5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46255</v>
      </c>
      <c r="E83" s="1" t="n">
        <v>46319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24.1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46319</v>
      </c>
      <c r="F84" t="inlineStr">
        <is>
          <t>VÄRMLANDS LÄN</t>
        </is>
      </c>
      <c r="G84" t="inlineStr">
        <is>
          <t>STORFORS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46300</v>
      </c>
      <c r="E85" s="1" t="n">
        <v>46319</v>
      </c>
      <c r="F85" t="inlineStr">
        <is>
          <t>VÄRMLANDS LÄN</t>
        </is>
      </c>
      <c r="G85" t="inlineStr">
        <is>
          <t>STORFORS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44938</v>
      </c>
      <c r="E86" s="1" t="n">
        <v>46319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46319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46100</v>
      </c>
      <c r="E88" s="1" t="n">
        <v>46319</v>
      </c>
      <c r="F88" t="inlineStr">
        <is>
          <t>VÄRMLANDS LÄN</t>
        </is>
      </c>
      <c r="G88" t="inlineStr">
        <is>
          <t>STORFORS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46319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46258</v>
      </c>
      <c r="E90" s="1" t="n">
        <v>46319</v>
      </c>
      <c r="F90" t="inlineStr">
        <is>
          <t>VÄRMLANDS LÄN</t>
        </is>
      </c>
      <c r="G90" t="inlineStr">
        <is>
          <t>STORFORS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16421-2026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46319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45355</v>
      </c>
      <c r="E92" s="1" t="n">
        <v>46319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46319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42042-2026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46304</v>
      </c>
      <c r="E94" s="1" t="n">
        <v>46319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30.2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46319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46261</v>
      </c>
      <c r="E96" s="1" t="n">
        <v>46319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46319</v>
      </c>
      <c r="F97" t="inlineStr">
        <is>
          <t>VÄRMLANDS LÄN</t>
        </is>
      </c>
      <c r="G97" t="inlineStr">
        <is>
          <t>STORFORS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18757-2026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46128</v>
      </c>
      <c r="E98" s="1" t="n">
        <v>46319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14.1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46319</v>
      </c>
      <c r="F99" t="inlineStr">
        <is>
          <t>VÄRMLANDS LÄN</t>
        </is>
      </c>
      <c r="G99" t="inlineStr">
        <is>
          <t>STORFORS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44939</v>
      </c>
      <c r="E100" s="1" t="n">
        <v>46319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35672-2026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46265</v>
      </c>
      <c r="E101" s="1" t="n">
        <v>46319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44897</v>
      </c>
      <c r="E102" s="1" t="n">
        <v>46319</v>
      </c>
      <c r="F102" t="inlineStr">
        <is>
          <t>VÄRMLANDS LÄN</t>
        </is>
      </c>
      <c r="G102" t="inlineStr">
        <is>
          <t>STORFORS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46319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45226</v>
      </c>
      <c r="E104" s="1" t="n">
        <v>46319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46319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46319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36310-2026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46268</v>
      </c>
      <c r="E107" s="1" t="n">
        <v>46319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46319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46268</v>
      </c>
      <c r="E109" s="1" t="n">
        <v>46319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45232</v>
      </c>
      <c r="E110" s="1" t="n">
        <v>46319</v>
      </c>
      <c r="F110" t="inlineStr">
        <is>
          <t>VÄRMLANDS LÄN</t>
        </is>
      </c>
      <c r="G110" t="inlineStr">
        <is>
          <t>STORFORS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20453-2026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46319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16.1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20465-2026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46319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46319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46319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46319</v>
      </c>
      <c r="F115" t="inlineStr">
        <is>
          <t>VÄRMLANDS LÄN</t>
        </is>
      </c>
      <c r="G115" t="inlineStr">
        <is>
          <t>STORFORS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46317</v>
      </c>
      <c r="E116" s="1" t="n">
        <v>46319</v>
      </c>
      <c r="F116" t="inlineStr">
        <is>
          <t>VÄRMLANDS LÄN</t>
        </is>
      </c>
      <c r="G116" t="inlineStr">
        <is>
          <t>STORFORS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46319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47713-2024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45588</v>
      </c>
      <c r="E118" s="1" t="n">
        <v>46319</v>
      </c>
      <c r="F118" t="inlineStr">
        <is>
          <t>VÄRMLANDS LÄN</t>
        </is>
      </c>
      <c r="G118" t="inlineStr">
        <is>
          <t>STORFORS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45588</v>
      </c>
      <c r="E119" s="1" t="n">
        <v>46319</v>
      </c>
      <c r="F119" t="inlineStr">
        <is>
          <t>VÄRMLANDS LÄN</t>
        </is>
      </c>
      <c r="G119" t="inlineStr">
        <is>
          <t>STORFORS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46319</v>
      </c>
      <c r="F120" t="inlineStr">
        <is>
          <t>VÄRMLANDS LÄN</t>
        </is>
      </c>
      <c r="G120" t="inlineStr">
        <is>
          <t>STORFORS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46205</v>
      </c>
      <c r="E121" s="1" t="n">
        <v>46319</v>
      </c>
      <c r="F121" t="inlineStr">
        <is>
          <t>VÄRMLANDS LÄN</t>
        </is>
      </c>
      <c r="G121" t="inlineStr">
        <is>
          <t>STORFORS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45614</v>
      </c>
      <c r="E122" s="1" t="n">
        <v>46319</v>
      </c>
      <c r="F122" t="inlineStr">
        <is>
          <t>VÄRMLANDS LÄN</t>
        </is>
      </c>
      <c r="G122" t="inlineStr">
        <is>
          <t>STORFORS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46319</v>
      </c>
      <c r="F123" t="inlineStr">
        <is>
          <t>VÄRMLANDS LÄN</t>
        </is>
      </c>
      <c r="G123" t="inlineStr">
        <is>
          <t>STORFORS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45711</v>
      </c>
      <c r="E124" s="1" t="n">
        <v>46319</v>
      </c>
      <c r="F124" t="inlineStr">
        <is>
          <t>VÄRMLANDS LÄN</t>
        </is>
      </c>
      <c r="G124" t="inlineStr">
        <is>
          <t>STORFORS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46319</v>
      </c>
      <c r="F125" t="inlineStr">
        <is>
          <t>VÄRMLANDS LÄN</t>
        </is>
      </c>
      <c r="G125" t="inlineStr">
        <is>
          <t>STORFORS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46319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61586-2025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46002</v>
      </c>
      <c r="E127" s="1" t="n">
        <v>46319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44747</v>
      </c>
      <c r="E128" s="1" t="n">
        <v>46319</v>
      </c>
      <c r="F128" t="inlineStr">
        <is>
          <t>VÄRMLANDS LÄN</t>
        </is>
      </c>
      <c r="G128" t="inlineStr">
        <is>
          <t>STORFORS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46319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44930</v>
      </c>
      <c r="E130" s="1" t="n">
        <v>46319</v>
      </c>
      <c r="F130" t="inlineStr">
        <is>
          <t>VÄRMLANDS LÄN</t>
        </is>
      </c>
      <c r="G130" t="inlineStr">
        <is>
          <t>STORFORS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46319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45028</v>
      </c>
      <c r="E132" s="1" t="n">
        <v>46319</v>
      </c>
      <c r="F132" t="inlineStr">
        <is>
          <t>VÄRMLANDS LÄN</t>
        </is>
      </c>
      <c r="G132" t="inlineStr">
        <is>
          <t>STORFORS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45203</v>
      </c>
      <c r="E133" s="1" t="n">
        <v>46319</v>
      </c>
      <c r="F133" t="inlineStr">
        <is>
          <t>VÄRMLANDS LÄN</t>
        </is>
      </c>
      <c r="G133" t="inlineStr">
        <is>
          <t>STORFORS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45669</v>
      </c>
      <c r="E134" s="1" t="n">
        <v>46319</v>
      </c>
      <c r="F134" t="inlineStr">
        <is>
          <t>VÄRMLANDS LÄN</t>
        </is>
      </c>
      <c r="G134" t="inlineStr">
        <is>
          <t>STORFORS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46319</v>
      </c>
      <c r="F135" t="inlineStr">
        <is>
          <t>VÄRMLANDS LÄN</t>
        </is>
      </c>
      <c r="G135" t="inlineStr">
        <is>
          <t>STORFORS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46319</v>
      </c>
      <c r="F136" t="inlineStr">
        <is>
          <t>VÄRMLANDS LÄN</t>
        </is>
      </c>
      <c r="G136" t="inlineStr">
        <is>
          <t>STORFORS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46319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45104</v>
      </c>
      <c r="E138" s="1" t="n">
        <v>46319</v>
      </c>
      <c r="F138" t="inlineStr">
        <is>
          <t>VÄRMLANDS LÄN</t>
        </is>
      </c>
      <c r="G138" t="inlineStr">
        <is>
          <t>STORFORS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46319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45068</v>
      </c>
      <c r="E140" s="1" t="n">
        <v>46319</v>
      </c>
      <c r="F140" t="inlineStr">
        <is>
          <t>VÄRMLANDS LÄN</t>
        </is>
      </c>
      <c r="G140" t="inlineStr">
        <is>
          <t>STORFORS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45401</v>
      </c>
      <c r="E141" s="1" t="n">
        <v>46319</v>
      </c>
      <c r="F141" t="inlineStr">
        <is>
          <t>VÄRMLANDS LÄN</t>
        </is>
      </c>
      <c r="G141" t="inlineStr">
        <is>
          <t>STORFORS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46319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45681</v>
      </c>
      <c r="E143" s="1" t="n">
        <v>46319</v>
      </c>
      <c r="F143" t="inlineStr">
        <is>
          <t>VÄRMLANDS LÄN</t>
        </is>
      </c>
      <c r="G143" t="inlineStr">
        <is>
          <t>STORFORS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45072</v>
      </c>
      <c r="E144" s="1" t="n">
        <v>46319</v>
      </c>
      <c r="F144" t="inlineStr">
        <is>
          <t>VÄRMLANDS LÄN</t>
        </is>
      </c>
      <c r="G144" t="inlineStr">
        <is>
          <t>STORFORS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46319</v>
      </c>
      <c r="F145" t="inlineStr">
        <is>
          <t>VÄRMLANDS LÄN</t>
        </is>
      </c>
      <c r="G145" t="inlineStr">
        <is>
          <t>STORFORS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45203</v>
      </c>
      <c r="E146" s="1" t="n">
        <v>46319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46319</v>
      </c>
      <c r="F147" t="inlineStr">
        <is>
          <t>VÄRMLANDS LÄN</t>
        </is>
      </c>
      <c r="G147" t="inlineStr">
        <is>
          <t>STORFORS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46319</v>
      </c>
      <c r="F148" t="inlineStr">
        <is>
          <t>VÄRMLANDS LÄN</t>
        </is>
      </c>
      <c r="G148" t="inlineStr">
        <is>
          <t>STORFORS</t>
        </is>
      </c>
      <c r="H148" t="inlineStr">
        <is>
          <t>Naturvårdsverket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45686</v>
      </c>
      <c r="E149" s="1" t="n">
        <v>46319</v>
      </c>
      <c r="F149" t="inlineStr">
        <is>
          <t>VÄRMLANDS LÄN</t>
        </is>
      </c>
      <c r="G149" t="inlineStr">
        <is>
          <t>STORFORS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46319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46319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53202-2023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45229</v>
      </c>
      <c r="E152" s="1" t="n">
        <v>46319</v>
      </c>
      <c r="F152" t="inlineStr">
        <is>
          <t>VÄRMLANDS LÄN</t>
        </is>
      </c>
      <c r="G152" t="inlineStr">
        <is>
          <t>STORFORS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45468</v>
      </c>
      <c r="E153" s="1" t="n">
        <v>46319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46319</v>
      </c>
      <c r="F154" t="inlineStr">
        <is>
          <t>VÄRMLANDS LÄN</t>
        </is>
      </c>
      <c r="G154" t="inlineStr">
        <is>
          <t>STORFORS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46319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46319</v>
      </c>
      <c r="F156" t="inlineStr">
        <is>
          <t>VÄRMLANDS LÄN</t>
        </is>
      </c>
      <c r="G156" t="inlineStr">
        <is>
          <t>STORFORS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46319</v>
      </c>
      <c r="F157" t="inlineStr">
        <is>
          <t>VÄRMLANDS LÄN</t>
        </is>
      </c>
      <c r="G157" t="inlineStr">
        <is>
          <t>STORFORS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44969</v>
      </c>
      <c r="E158" s="1" t="n">
        <v>46319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46319</v>
      </c>
      <c r="F159" t="inlineStr">
        <is>
          <t>VÄRMLANDS LÄN</t>
        </is>
      </c>
      <c r="G159" t="inlineStr">
        <is>
          <t>STORFORS</t>
        </is>
      </c>
      <c r="H159" t="inlineStr">
        <is>
          <t>Naturvårdsverket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46319</v>
      </c>
      <c r="F160" t="inlineStr">
        <is>
          <t>VÄRMLANDS LÄN</t>
        </is>
      </c>
      <c r="G160" t="inlineStr">
        <is>
          <t>STORFORS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46319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46319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46319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46319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46319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2026-10-24T02:00:34Z</dcterms:created>
  <dcterms:modified xmlns:dcterms="http://purl.org/dc/terms/" xmlns:xsi="http://www.w3.org/2001/XMLSchema-instance" xsi:type="dcterms:W3CDTF">2026-10-24T02:00:35Z</dcterms:modified>
</cp:coreProperties>
</file>