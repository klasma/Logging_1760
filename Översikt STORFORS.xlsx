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46257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Knölspindel</t>
        </is>
      </c>
      <c r="W4">
        <f>HYPERLINK("https://klasma.github.io/Logging_1760/artfynd/A 57209-2022 artfynd.xlsx", "A 57209-2022")</f>
        <v/>
      </c>
      <c r="X4">
        <f>HYPERLINK("https://klasma.github.io/Logging_1760/kartor/A 57209-2022 karta.png", "A 57209-2022")</f>
        <v/>
      </c>
      <c r="Y4">
        <f>HYPERLINK("https://klasma.github.io/Logging_1760/kartor_geotiff/A 57209-2022 georefererad karta.tif", "A 57209-2022")</f>
        <v/>
      </c>
      <c r="AA4">
        <f>HYPERLINK("https://klasma.github.io/Logging_1760/klagomål/A 57209-2022 FSC-klagomål.docx", "A 57209-2022")</f>
        <v/>
      </c>
      <c r="AB4">
        <f>HYPERLINK("https://klasma.github.io/Logging_1760/klagomålsmail/A 57209-2022 FSC-klagomål mail.docx", "A 57209-2022")</f>
        <v/>
      </c>
      <c r="AC4">
        <f>HYPERLINK("https://klasma.github.io/Logging_1760/tillsyn/A 57209-2022 tillsynsbegäran.docx", "A 57209-2022")</f>
        <v/>
      </c>
      <c r="AD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46257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46257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46257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46257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46257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46257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46257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46257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46257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46257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24820-2025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46257</v>
      </c>
      <c r="F17" t="inlineStr">
        <is>
          <t>VÄRMLANDS LÄN</t>
        </is>
      </c>
      <c r="G17" t="inlineStr">
        <is>
          <t>STORFORS</t>
        </is>
      </c>
      <c r="H17" t="inlineStr">
        <is>
          <t>Bergvik skog väst AB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26201-2024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45468</v>
      </c>
      <c r="E18" s="1" t="n">
        <v>46257</v>
      </c>
      <c r="F18" t="inlineStr">
        <is>
          <t>VÄRMLANDS LÄN</t>
        </is>
      </c>
      <c r="G18" t="inlineStr">
        <is>
          <t>STORFORS</t>
        </is>
      </c>
      <c r="H18" t="inlineStr">
        <is>
          <t>Bergvik skog väst AB</t>
        </is>
      </c>
      <c r="I18" t="n">
        <v>25.4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44969</v>
      </c>
      <c r="E19" s="1" t="n">
        <v>46257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45726</v>
      </c>
      <c r="E20" s="1" t="n">
        <v>46257</v>
      </c>
      <c r="F20" t="inlineStr">
        <is>
          <t>VÄRMLANDS LÄN</t>
        </is>
      </c>
      <c r="G20" t="inlineStr">
        <is>
          <t>STORFORS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45818</v>
      </c>
      <c r="E21" s="1" t="n">
        <v>46257</v>
      </c>
      <c r="F21" t="inlineStr">
        <is>
          <t>VÄRMLANDS LÄN</t>
        </is>
      </c>
      <c r="G21" t="inlineStr">
        <is>
          <t>STORFORS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13636-2024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46257</v>
      </c>
      <c r="F22" t="inlineStr">
        <is>
          <t>VÄRMLANDS LÄN</t>
        </is>
      </c>
      <c r="G22" t="inlineStr">
        <is>
          <t>STORFORS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22935-2023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46257</v>
      </c>
      <c r="F23" t="inlineStr">
        <is>
          <t>VÄRMLANDS LÄN</t>
        </is>
      </c>
      <c r="G23" t="inlineStr">
        <is>
          <t>STORFORS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39623-2025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46257</v>
      </c>
      <c r="F24" t="inlineStr">
        <is>
          <t>VÄRMLANDS LÄN</t>
        </is>
      </c>
      <c r="G24" t="inlineStr">
        <is>
          <t>STORFORS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39998-2023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46257</v>
      </c>
      <c r="F25" t="inlineStr">
        <is>
          <t>VÄRMLANDS LÄN</t>
        </is>
      </c>
      <c r="G25" t="inlineStr">
        <is>
          <t>STORFORS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54738-2023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45236</v>
      </c>
      <c r="E26" s="1" t="n">
        <v>46257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70761-2021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46257</v>
      </c>
      <c r="F27" t="inlineStr">
        <is>
          <t>VÄRMLANDS LÄN</t>
        </is>
      </c>
      <c r="G27" t="inlineStr">
        <is>
          <t>STORFORS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44900</v>
      </c>
      <c r="E28" s="1" t="n">
        <v>46257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44900</v>
      </c>
      <c r="E29" s="1" t="n">
        <v>46257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45681</v>
      </c>
      <c r="E30" s="1" t="n">
        <v>46257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46257</v>
      </c>
      <c r="F31" t="inlineStr">
        <is>
          <t>VÄRMLANDS LÄN</t>
        </is>
      </c>
      <c r="G31" t="inlineStr">
        <is>
          <t>STORFORS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45329</v>
      </c>
      <c r="E32" s="1" t="n">
        <v>46257</v>
      </c>
      <c r="F32" t="inlineStr">
        <is>
          <t>VÄRMLANDS LÄN</t>
        </is>
      </c>
      <c r="G32" t="inlineStr">
        <is>
          <t>STORFORS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46257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45669</v>
      </c>
      <c r="E34" s="1" t="n">
        <v>46257</v>
      </c>
      <c r="F34" t="inlineStr">
        <is>
          <t>VÄRMLANDS LÄN</t>
        </is>
      </c>
      <c r="G34" t="inlineStr">
        <is>
          <t>STORFORS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28466-2022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46257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33806-2024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46257</v>
      </c>
      <c r="F36" t="inlineStr">
        <is>
          <t>VÄRMLANDS LÄN</t>
        </is>
      </c>
      <c r="G36" t="inlineStr">
        <is>
          <t>STORFORS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47713-2024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45588</v>
      </c>
      <c r="E37" s="1" t="n">
        <v>46257</v>
      </c>
      <c r="F37" t="inlineStr">
        <is>
          <t>VÄRMLANDS LÄN</t>
        </is>
      </c>
      <c r="G37" t="inlineStr">
        <is>
          <t>STORFORS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45688</v>
      </c>
      <c r="E38" s="1" t="n">
        <v>46257</v>
      </c>
      <c r="F38" t="inlineStr">
        <is>
          <t>VÄRMLANDS LÄN</t>
        </is>
      </c>
      <c r="G38" t="inlineStr">
        <is>
          <t>STORFORS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46257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44939</v>
      </c>
      <c r="E40" s="1" t="n">
        <v>46257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46257</v>
      </c>
      <c r="F41" t="inlineStr">
        <is>
          <t>VÄRMLANDS LÄN</t>
        </is>
      </c>
      <c r="G41" t="inlineStr">
        <is>
          <t>STORFORS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46257</v>
      </c>
      <c r="F42" t="inlineStr">
        <is>
          <t>VÄRMLANDS LÄN</t>
        </is>
      </c>
      <c r="G42" t="inlineStr">
        <is>
          <t>STORFORS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46257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46257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17756-2023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45037</v>
      </c>
      <c r="E45" s="1" t="n">
        <v>46257</v>
      </c>
      <c r="F45" t="inlineStr">
        <is>
          <t>VÄRMLANDS LÄN</t>
        </is>
      </c>
      <c r="G45" t="inlineStr">
        <is>
          <t>STORFORS</t>
        </is>
      </c>
      <c r="I45" t="n">
        <v>8.1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46257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53990-2025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45961</v>
      </c>
      <c r="E47" s="1" t="n">
        <v>46257</v>
      </c>
      <c r="F47" t="inlineStr">
        <is>
          <t>VÄRMLANDS LÄN</t>
        </is>
      </c>
      <c r="G47" t="inlineStr">
        <is>
          <t>STORFORS</t>
        </is>
      </c>
      <c r="H47" t="inlineStr">
        <is>
          <t>Naturvårdsverket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45957</v>
      </c>
      <c r="E48" s="1" t="n">
        <v>46257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46257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46257</v>
      </c>
      <c r="F50" t="inlineStr">
        <is>
          <t>VÄRMLANDS LÄN</t>
        </is>
      </c>
      <c r="G50" t="inlineStr">
        <is>
          <t>STORFORS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46257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46257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54190-2023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46257</v>
      </c>
      <c r="F53" t="inlineStr">
        <is>
          <t>VÄRMLANDS LÄN</t>
        </is>
      </c>
      <c r="G53" t="inlineStr">
        <is>
          <t>STORFORS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53202-2023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46257</v>
      </c>
      <c r="F54" t="inlineStr">
        <is>
          <t>VÄRMLANDS LÄN</t>
        </is>
      </c>
      <c r="G54" t="inlineStr">
        <is>
          <t>STORFORS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46257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46257</v>
      </c>
      <c r="F56" t="inlineStr">
        <is>
          <t>VÄRMLANDS LÄN</t>
        </is>
      </c>
      <c r="G56" t="inlineStr">
        <is>
          <t>STORFORS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46257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45560</v>
      </c>
      <c r="E58" s="1" t="n">
        <v>46257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29002-2023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46257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44658</v>
      </c>
      <c r="E60" s="1" t="n">
        <v>46257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46257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46257</v>
      </c>
      <c r="F62" t="inlineStr">
        <is>
          <t>VÄRMLANDS LÄN</t>
        </is>
      </c>
      <c r="G62" t="inlineStr">
        <is>
          <t>STORFORS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46257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46257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46257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46257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45153</v>
      </c>
      <c r="E67" s="1" t="n">
        <v>46257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46257</v>
      </c>
      <c r="F68" t="inlineStr">
        <is>
          <t>VÄRMLANDS LÄN</t>
        </is>
      </c>
      <c r="G68" t="inlineStr">
        <is>
          <t>STORFORS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44930</v>
      </c>
      <c r="E69" s="1" t="n">
        <v>46257</v>
      </c>
      <c r="F69" t="inlineStr">
        <is>
          <t>VÄRMLANDS LÄN</t>
        </is>
      </c>
      <c r="G69" t="inlineStr">
        <is>
          <t>STORFORS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46257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46257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45988</v>
      </c>
      <c r="E72" s="1" t="n">
        <v>46257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9.9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46257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46257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46257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46257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46257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46257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46257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46257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46257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46257</v>
      </c>
      <c r="F82" t="inlineStr">
        <is>
          <t>VÄRMLANDS LÄN</t>
        </is>
      </c>
      <c r="G82" t="inlineStr">
        <is>
          <t>STORFORS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46257</v>
      </c>
      <c r="F83" t="inlineStr">
        <is>
          <t>VÄRMLANDS LÄN</t>
        </is>
      </c>
      <c r="G83" t="inlineStr">
        <is>
          <t>STORFORS</t>
        </is>
      </c>
      <c r="I83" t="n">
        <v>10.8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24406-2026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46169</v>
      </c>
      <c r="E84" s="1" t="n">
        <v>46257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46170</v>
      </c>
      <c r="E85" s="1" t="n">
        <v>46257</v>
      </c>
      <c r="F85" t="inlineStr">
        <is>
          <t>VÄRMLANDS LÄN</t>
        </is>
      </c>
      <c r="G85" t="inlineStr">
        <is>
          <t>STORFORS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46257</v>
      </c>
      <c r="F86" t="inlineStr">
        <is>
          <t>VÄRMLANDS LÄN</t>
        </is>
      </c>
      <c r="G86" t="inlineStr">
        <is>
          <t>STORFORS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44938</v>
      </c>
      <c r="E87" s="1" t="n">
        <v>46257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46257</v>
      </c>
      <c r="F88" t="inlineStr">
        <is>
          <t>VÄRMLANDS LÄN</t>
        </is>
      </c>
      <c r="G88" t="inlineStr">
        <is>
          <t>STORFORS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46257</v>
      </c>
      <c r="F89" t="inlineStr">
        <is>
          <t>VÄRMLANDS LÄN</t>
        </is>
      </c>
      <c r="G89" t="inlineStr">
        <is>
          <t>STORFORS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46257</v>
      </c>
      <c r="F90" t="inlineStr">
        <is>
          <t>VÄRMLANDS LÄN</t>
        </is>
      </c>
      <c r="G90" t="inlineStr">
        <is>
          <t>STORFORS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46257</v>
      </c>
      <c r="F91" t="inlineStr">
        <is>
          <t>VÄRMLANDS LÄN</t>
        </is>
      </c>
      <c r="G91" t="inlineStr">
        <is>
          <t>STORFORS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46257</v>
      </c>
      <c r="F92" t="inlineStr">
        <is>
          <t>VÄRMLANDS LÄN</t>
        </is>
      </c>
      <c r="G92" t="inlineStr">
        <is>
          <t>STORFORS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46257</v>
      </c>
      <c r="F93" t="inlineStr">
        <is>
          <t>VÄRMLANDS LÄN</t>
        </is>
      </c>
      <c r="G93" t="inlineStr">
        <is>
          <t>STORFORS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46220</v>
      </c>
      <c r="E94" s="1" t="n">
        <v>46257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46257</v>
      </c>
      <c r="F95" t="inlineStr">
        <is>
          <t>VÄRMLANDS LÄN</t>
        </is>
      </c>
      <c r="G95" t="inlineStr">
        <is>
          <t>STORFORS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46257</v>
      </c>
      <c r="F96" t="inlineStr">
        <is>
          <t>VÄRMLANDS LÄN</t>
        </is>
      </c>
      <c r="G96" t="inlineStr">
        <is>
          <t>STORFORS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46257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46227</v>
      </c>
      <c r="E98" s="1" t="n">
        <v>46257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45614</v>
      </c>
      <c r="E99" s="1" t="n">
        <v>46257</v>
      </c>
      <c r="F99" t="inlineStr">
        <is>
          <t>VÄRMLANDS LÄN</t>
        </is>
      </c>
      <c r="G99" t="inlineStr">
        <is>
          <t>STORFORS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46257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44450</v>
      </c>
      <c r="E101" s="1" t="n">
        <v>46257</v>
      </c>
      <c r="F101" t="inlineStr">
        <is>
          <t>VÄRMLANDS LÄN</t>
        </is>
      </c>
      <c r="G101" t="inlineStr">
        <is>
          <t>STORFORS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46257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46257</v>
      </c>
      <c r="F103" t="inlineStr">
        <is>
          <t>VÄRMLANDS LÄN</t>
        </is>
      </c>
      <c r="G103" t="inlineStr">
        <is>
          <t>STORFORS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46257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46257</v>
      </c>
      <c r="F105" t="inlineStr">
        <is>
          <t>VÄRMLANDS LÄN</t>
        </is>
      </c>
      <c r="G105" t="inlineStr">
        <is>
          <t>STORFORS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46257</v>
      </c>
      <c r="F106" t="inlineStr">
        <is>
          <t>VÄRMLANDS LÄN</t>
        </is>
      </c>
      <c r="G106" t="inlineStr">
        <is>
          <t>STORFORS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46257</v>
      </c>
      <c r="F107" t="inlineStr">
        <is>
          <t>VÄRMLANDS LÄN</t>
        </is>
      </c>
      <c r="G107" t="inlineStr">
        <is>
          <t>STORFORS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46257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23.6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46111</v>
      </c>
      <c r="E109" s="1" t="n">
        <v>46257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46196</v>
      </c>
      <c r="E110" s="1" t="n">
        <v>46257</v>
      </c>
      <c r="F110" t="inlineStr">
        <is>
          <t>VÄRMLANDS LÄN</t>
        </is>
      </c>
      <c r="G110" t="inlineStr">
        <is>
          <t>STORFORS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46257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46257</v>
      </c>
      <c r="F112" t="inlineStr">
        <is>
          <t>VÄRMLANDS LÄN</t>
        </is>
      </c>
      <c r="G112" t="inlineStr">
        <is>
          <t>STORFORS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46257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46257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51.6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46257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46257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46257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45711</v>
      </c>
      <c r="E118" s="1" t="n">
        <v>46257</v>
      </c>
      <c r="F118" t="inlineStr">
        <is>
          <t>VÄRMLANDS LÄN</t>
        </is>
      </c>
      <c r="G118" t="inlineStr">
        <is>
          <t>STORFORS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46257</v>
      </c>
      <c r="F119" t="inlineStr">
        <is>
          <t>VÄRMLANDS LÄN</t>
        </is>
      </c>
      <c r="G119" t="inlineStr">
        <is>
          <t>STORFORS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46257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46257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46257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46257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46257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46257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46257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24.1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46257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28979-2026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46199</v>
      </c>
      <c r="E128" s="1" t="n">
        <v>46257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46257</v>
      </c>
      <c r="F129" t="inlineStr">
        <is>
          <t>VÄRMLANDS LÄN</t>
        </is>
      </c>
      <c r="G129" t="inlineStr">
        <is>
          <t>STORFORS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46257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46257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46257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46257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46257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46257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46257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46257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46257</v>
      </c>
      <c r="F138" t="inlineStr">
        <is>
          <t>VÄRMLANDS LÄN</t>
        </is>
      </c>
      <c r="G138" t="inlineStr">
        <is>
          <t>STORFORS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46257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61586-2025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46002</v>
      </c>
      <c r="E140" s="1" t="n">
        <v>46257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46257</v>
      </c>
      <c r="F141" t="inlineStr">
        <is>
          <t>VÄRMLANDS LÄN</t>
        </is>
      </c>
      <c r="G141" t="inlineStr">
        <is>
          <t>STORFORS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46257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46257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46257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46257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46257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46257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46257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46257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46257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46257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46257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46257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2026-08-23T01:50:31Z</dcterms:created>
  <dcterms:modified xmlns:dcterms="http://purl.org/dc/terms/" xmlns:xsi="http://www.w3.org/2001/XMLSchema-instance" xsi:type="dcterms:W3CDTF">2026-08-23T01:50:31Z</dcterms:modified>
</cp:coreProperties>
</file>