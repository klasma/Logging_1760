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46289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46289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46376-2023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45197</v>
      </c>
      <c r="E4" s="1" t="n">
        <v>46289</v>
      </c>
      <c r="F4" t="inlineStr">
        <is>
          <t>VÄRMLANDS LÄN</t>
        </is>
      </c>
      <c r="G4" t="inlineStr">
        <is>
          <t>STORFORS</t>
        </is>
      </c>
      <c r="I4" t="n">
        <v>0.7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Igelkott</t>
        </is>
      </c>
      <c r="W4">
        <f>HYPERLINK("https://klasma.github.io/Logging_1760/artfynd/A 46376-2023 artfynd.xlsx", "A 46376-2023")</f>
        <v/>
      </c>
      <c r="X4">
        <f>HYPERLINK("https://klasma.github.io/Logging_1760/kartor/A 46376-2023 karta.png", "A 46376-2023")</f>
        <v/>
      </c>
      <c r="Y4">
        <f>HYPERLINK("https://klasma.github.io/Logging_1760/kartor_geotiff/A 46376-2023 georefererad karta.tif", "A 46376-2023")</f>
        <v/>
      </c>
      <c r="AA4">
        <f>HYPERLINK("https://klasma.github.io/Logging_1760/klagomål/A 46376-2023 FSC-klagomål.docx", "A 46376-2023")</f>
        <v/>
      </c>
      <c r="AB4">
        <f>HYPERLINK("https://klasma.github.io/Logging_1760/klagomålsmail/A 46376-2023 FSC-klagomål mail.docx", "A 46376-2023")</f>
        <v/>
      </c>
      <c r="AC4">
        <f>HYPERLINK("https://klasma.github.io/Logging_1760/tillsyn/A 46376-2023 tillsynsbegäran.docx", "A 46376-2023")</f>
        <v/>
      </c>
      <c r="AD4">
        <f>HYPERLINK("https://klasma.github.io/Logging_1760/tillsynsmail/A 46376-2023 tillsynsbegäran mail.docx", "A 46376-2023")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46289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43407-2022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44834</v>
      </c>
      <c r="E6" s="1" t="n">
        <v>46289</v>
      </c>
      <c r="F6" t="inlineStr">
        <is>
          <t>VÄRMLANDS LÄN</t>
        </is>
      </c>
      <c r="G6" t="inlineStr">
        <is>
          <t>STORFORS</t>
        </is>
      </c>
      <c r="H6" t="inlineStr">
        <is>
          <t>Bergvik skog väst AB</t>
        </is>
      </c>
      <c r="I6" t="n">
        <v>7.1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Orre</t>
        </is>
      </c>
      <c r="W6">
        <f>HYPERLINK("https://klasma.github.io/Logging_1760/artfynd/A 43407-2022 artfynd.xlsx", "A 43407-2022")</f>
        <v/>
      </c>
      <c r="X6">
        <f>HYPERLINK("https://klasma.github.io/Logging_1760/kartor/A 43407-2022 karta.png", "A 43407-2022")</f>
        <v/>
      </c>
      <c r="Y6">
        <f>HYPERLINK("https://klasma.github.io/Logging_1760/kartor_geotiff/A 43407-2022 georefererad karta.tif", "A 43407-2022")</f>
        <v/>
      </c>
      <c r="AA6">
        <f>HYPERLINK("https://klasma.github.io/Logging_1760/klagomål/A 43407-2022 FSC-klagomål.docx", "A 43407-2022")</f>
        <v/>
      </c>
      <c r="AB6">
        <f>HYPERLINK("https://klasma.github.io/Logging_1760/klagomålsmail/A 43407-2022 FSC-klagomål mail.docx", "A 43407-2022")</f>
        <v/>
      </c>
      <c r="AC6">
        <f>HYPERLINK("https://klasma.github.io/Logging_1760/tillsyn/A 43407-2022 tillsynsbegäran.docx", "A 43407-2022")</f>
        <v/>
      </c>
      <c r="AD6">
        <f>HYPERLINK("https://klasma.github.io/Logging_1760/tillsynsmail/A 43407-2022 tillsynsbegäran mail.docx", "A 43407-2022")</f>
        <v/>
      </c>
      <c r="AE6">
        <f>HYPERLINK("https://klasma.github.io/Logging_1760/fåglar/A 43407-2022 prioriterade fågelarter.docx", "A 43407-2022")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46289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46289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46289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46289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46289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46289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46289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46289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46289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46289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46289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46289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45596</v>
      </c>
      <c r="E19" s="1" t="n">
        <v>46289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14605-2024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45396</v>
      </c>
      <c r="E20" s="1" t="n">
        <v>46289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9.6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45028</v>
      </c>
      <c r="E21" s="1" t="n">
        <v>46289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46289</v>
      </c>
      <c r="F22" t="inlineStr">
        <is>
          <t>VÄRMLANDS LÄN</t>
        </is>
      </c>
      <c r="G22" t="inlineStr">
        <is>
          <t>STORFORS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45669</v>
      </c>
      <c r="E23" s="1" t="n">
        <v>46289</v>
      </c>
      <c r="F23" t="inlineStr">
        <is>
          <t>VÄRMLANDS LÄN</t>
        </is>
      </c>
      <c r="G23" t="inlineStr">
        <is>
          <t>STORFORS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45660</v>
      </c>
      <c r="E24" s="1" t="n">
        <v>46289</v>
      </c>
      <c r="F24" t="inlineStr">
        <is>
          <t>VÄRMLANDS LÄN</t>
        </is>
      </c>
      <c r="G24" t="inlineStr">
        <is>
          <t>STORFORS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45680</v>
      </c>
      <c r="E25" s="1" t="n">
        <v>46289</v>
      </c>
      <c r="F25" t="inlineStr">
        <is>
          <t>VÄRMLANDS LÄN</t>
        </is>
      </c>
      <c r="G25" t="inlineStr">
        <is>
          <t>STORFORS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26230-2024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46289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45890</v>
      </c>
      <c r="E27" s="1" t="n">
        <v>46289</v>
      </c>
      <c r="F27" t="inlineStr">
        <is>
          <t>VÄRMLANDS LÄN</t>
        </is>
      </c>
      <c r="G27" t="inlineStr">
        <is>
          <t>STORFORS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30587-2023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46289</v>
      </c>
      <c r="F28" t="inlineStr">
        <is>
          <t>VÄRMLANDS LÄN</t>
        </is>
      </c>
      <c r="G28" t="inlineStr">
        <is>
          <t>STORFORS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46289</v>
      </c>
      <c r="F29" t="inlineStr">
        <is>
          <t>VÄRMLANDS LÄN</t>
        </is>
      </c>
      <c r="G29" t="inlineStr">
        <is>
          <t>STORFORS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33806-2024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46289</v>
      </c>
      <c r="F30" t="inlineStr">
        <is>
          <t>VÄRMLANDS LÄN</t>
        </is>
      </c>
      <c r="G30" t="inlineStr">
        <is>
          <t>STORFORS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46289</v>
      </c>
      <c r="F31" t="inlineStr">
        <is>
          <t>VÄRMLANDS LÄN</t>
        </is>
      </c>
      <c r="G31" t="inlineStr">
        <is>
          <t>STORFORS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24820-2025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46289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46289</v>
      </c>
      <c r="F33" t="inlineStr">
        <is>
          <t>VÄRMLANDS LÄN</t>
        </is>
      </c>
      <c r="G33" t="inlineStr">
        <is>
          <t>STORFORS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70761-2021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46289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45453</v>
      </c>
      <c r="E35" s="1" t="n">
        <v>46289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36697-2023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46289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45104</v>
      </c>
      <c r="E37" s="1" t="n">
        <v>46289</v>
      </c>
      <c r="F37" t="inlineStr">
        <is>
          <t>VÄRMLANDS LÄN</t>
        </is>
      </c>
      <c r="G37" t="inlineStr">
        <is>
          <t>STORFORS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58586-2024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46289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2037-2023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46289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46289</v>
      </c>
      <c r="F40" t="inlineStr">
        <is>
          <t>VÄRMLANDS LÄN</t>
        </is>
      </c>
      <c r="G40" t="inlineStr">
        <is>
          <t>STORFORS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15442-2024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46289</v>
      </c>
      <c r="F41" t="inlineStr">
        <is>
          <t>VÄRMLANDS LÄN</t>
        </is>
      </c>
      <c r="G41" t="inlineStr">
        <is>
          <t>STORFORS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46289</v>
      </c>
      <c r="F42" t="inlineStr">
        <is>
          <t>VÄRMLANDS LÄN</t>
        </is>
      </c>
      <c r="G42" t="inlineStr">
        <is>
          <t>STORFORS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54190-2023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46289</v>
      </c>
      <c r="F43" t="inlineStr">
        <is>
          <t>VÄRMLANDS LÄN</t>
        </is>
      </c>
      <c r="G43" t="inlineStr">
        <is>
          <t>STORFORS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45700</v>
      </c>
      <c r="E44" s="1" t="n">
        <v>46289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45681</v>
      </c>
      <c r="E45" s="1" t="n">
        <v>46289</v>
      </c>
      <c r="F45" t="inlineStr">
        <is>
          <t>VÄRMLANDS LÄN</t>
        </is>
      </c>
      <c r="G45" t="inlineStr">
        <is>
          <t>STORFORS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22935-2023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45072</v>
      </c>
      <c r="E46" s="1" t="n">
        <v>46289</v>
      </c>
      <c r="F46" t="inlineStr">
        <is>
          <t>VÄRMLANDS LÄN</t>
        </is>
      </c>
      <c r="G46" t="inlineStr">
        <is>
          <t>STORFORS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45614</v>
      </c>
      <c r="E47" s="1" t="n">
        <v>46289</v>
      </c>
      <c r="F47" t="inlineStr">
        <is>
          <t>VÄRMLANDS LÄN</t>
        </is>
      </c>
      <c r="G47" t="inlineStr">
        <is>
          <t>STORFORS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46289</v>
      </c>
      <c r="F48" t="inlineStr">
        <is>
          <t>VÄRMLANDS LÄN</t>
        </is>
      </c>
      <c r="G48" t="inlineStr">
        <is>
          <t>STORFORS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47713-2024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45588</v>
      </c>
      <c r="E49" s="1" t="n">
        <v>46289</v>
      </c>
      <c r="F49" t="inlineStr">
        <is>
          <t>VÄRMLANDS LÄN</t>
        </is>
      </c>
      <c r="G49" t="inlineStr">
        <is>
          <t>STORFORS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47732-2024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45588</v>
      </c>
      <c r="E50" s="1" t="n">
        <v>46289</v>
      </c>
      <c r="F50" t="inlineStr">
        <is>
          <t>VÄRMLANDS LÄN</t>
        </is>
      </c>
      <c r="G50" t="inlineStr">
        <is>
          <t>STORFORS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46289</v>
      </c>
      <c r="F51" t="inlineStr">
        <is>
          <t>VÄRMLANDS LÄN</t>
        </is>
      </c>
      <c r="G51" t="inlineStr">
        <is>
          <t>STORFORS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53388-2024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46289</v>
      </c>
      <c r="F52" t="inlineStr">
        <is>
          <t>VÄRMLANDS LÄN</t>
        </is>
      </c>
      <c r="G52" t="inlineStr">
        <is>
          <t>STORFORS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46289</v>
      </c>
      <c r="F53" t="inlineStr">
        <is>
          <t>VÄRMLANDS LÄN</t>
        </is>
      </c>
      <c r="G53" t="inlineStr">
        <is>
          <t>STORFORS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39998-2023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46289</v>
      </c>
      <c r="F54" t="inlineStr">
        <is>
          <t>VÄRMLANDS LÄN</t>
        </is>
      </c>
      <c r="G54" t="inlineStr">
        <is>
          <t>STORFORS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53990-2025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45961</v>
      </c>
      <c r="E55" s="1" t="n">
        <v>46289</v>
      </c>
      <c r="F55" t="inlineStr">
        <is>
          <t>VÄRMLANDS LÄN</t>
        </is>
      </c>
      <c r="G55" t="inlineStr">
        <is>
          <t>STORFORS</t>
        </is>
      </c>
      <c r="H55" t="inlineStr">
        <is>
          <t>Naturvårdsverket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47624-2023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45203</v>
      </c>
      <c r="E56" s="1" t="n">
        <v>46289</v>
      </c>
      <c r="F56" t="inlineStr">
        <is>
          <t>VÄRMLANDS LÄN</t>
        </is>
      </c>
      <c r="G56" t="inlineStr">
        <is>
          <t>STORFORS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45708</v>
      </c>
      <c r="E57" s="1" t="n">
        <v>46289</v>
      </c>
      <c r="F57" t="inlineStr">
        <is>
          <t>VÄRMLANDS LÄN</t>
        </is>
      </c>
      <c r="G57" t="inlineStr">
        <is>
          <t>STORFORS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41479-2024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45560</v>
      </c>
      <c r="E58" s="1" t="n">
        <v>46289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45711</v>
      </c>
      <c r="E59" s="1" t="n">
        <v>46289</v>
      </c>
      <c r="F59" t="inlineStr">
        <is>
          <t>VÄRMLANDS LÄN</t>
        </is>
      </c>
      <c r="G59" t="inlineStr">
        <is>
          <t>STORFORS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55234-2025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45968</v>
      </c>
      <c r="E60" s="1" t="n">
        <v>46289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45686</v>
      </c>
      <c r="E61" s="1" t="n">
        <v>46289</v>
      </c>
      <c r="F61" t="inlineStr">
        <is>
          <t>VÄRMLANDS LÄN</t>
        </is>
      </c>
      <c r="G61" t="inlineStr">
        <is>
          <t>STORFORS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45236</v>
      </c>
      <c r="E62" s="1" t="n">
        <v>46289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46289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56525-2025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45975</v>
      </c>
      <c r="E64" s="1" t="n">
        <v>46289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45174</v>
      </c>
      <c r="E65" s="1" t="n">
        <v>46289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44747</v>
      </c>
      <c r="E66" s="1" t="n">
        <v>46289</v>
      </c>
      <c r="F66" t="inlineStr">
        <is>
          <t>VÄRMLANDS LÄN</t>
        </is>
      </c>
      <c r="G66" t="inlineStr">
        <is>
          <t>STORFORS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45058</v>
      </c>
      <c r="E67" s="1" t="n">
        <v>46289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14.9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44930</v>
      </c>
      <c r="E68" s="1" t="n">
        <v>46289</v>
      </c>
      <c r="F68" t="inlineStr">
        <is>
          <t>VÄRMLANDS LÄN</t>
        </is>
      </c>
      <c r="G68" t="inlineStr">
        <is>
          <t>STORFORS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45204</v>
      </c>
      <c r="E69" s="1" t="n">
        <v>46289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45995</v>
      </c>
      <c r="E70" s="1" t="n">
        <v>46289</v>
      </c>
      <c r="F70" t="inlineStr">
        <is>
          <t>VÄRMLANDS LÄN</t>
        </is>
      </c>
      <c r="G70" t="inlineStr">
        <is>
          <t>STORFORS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53202-2023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45229</v>
      </c>
      <c r="E71" s="1" t="n">
        <v>46289</v>
      </c>
      <c r="F71" t="inlineStr">
        <is>
          <t>VÄRMLANDS LÄN</t>
        </is>
      </c>
      <c r="G71" t="inlineStr">
        <is>
          <t>STORFORS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46000</v>
      </c>
      <c r="E72" s="1" t="n">
        <v>46289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46289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45468</v>
      </c>
      <c r="E74" s="1" t="n">
        <v>46289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25.4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45726</v>
      </c>
      <c r="E75" s="1" t="n">
        <v>46289</v>
      </c>
      <c r="F75" t="inlineStr">
        <is>
          <t>VÄRMLANDS LÄN</t>
        </is>
      </c>
      <c r="G75" t="inlineStr">
        <is>
          <t>STORFORS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45372</v>
      </c>
      <c r="E76" s="1" t="n">
        <v>46289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46048</v>
      </c>
      <c r="E77" s="1" t="n">
        <v>46289</v>
      </c>
      <c r="F77" t="inlineStr">
        <is>
          <t>VÄRMLANDS LÄN</t>
        </is>
      </c>
      <c r="G77" t="inlineStr">
        <is>
          <t>STORFORS</t>
        </is>
      </c>
      <c r="I77" t="n">
        <v>10.8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46289</v>
      </c>
      <c r="F78" t="inlineStr">
        <is>
          <t>VÄRMLANDS LÄN</t>
        </is>
      </c>
      <c r="G78" t="inlineStr">
        <is>
          <t>STORFORS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46289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62987-2025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46009</v>
      </c>
      <c r="E80" s="1" t="n">
        <v>46289</v>
      </c>
      <c r="F80" t="inlineStr">
        <is>
          <t>VÄRMLANDS LÄN</t>
        </is>
      </c>
      <c r="G80" t="inlineStr">
        <is>
          <t>STORFORS</t>
        </is>
      </c>
      <c r="H80" t="inlineStr">
        <is>
          <t>Naturvårdsverket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63080-2025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46009</v>
      </c>
      <c r="E81" s="1" t="n">
        <v>46289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44178-2025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45915</v>
      </c>
      <c r="E82" s="1" t="n">
        <v>46289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10.6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59146-2025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45988</v>
      </c>
      <c r="E83" s="1" t="n">
        <v>46289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46289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45037</v>
      </c>
      <c r="E85" s="1" t="n">
        <v>46289</v>
      </c>
      <c r="F85" t="inlineStr">
        <is>
          <t>VÄRMLANDS LÄN</t>
        </is>
      </c>
      <c r="G85" t="inlineStr">
        <is>
          <t>STORFORS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28467-2022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44747</v>
      </c>
      <c r="E86" s="1" t="n">
        <v>46289</v>
      </c>
      <c r="F86" t="inlineStr">
        <is>
          <t>VÄRMLANDS LÄN</t>
        </is>
      </c>
      <c r="G86" t="inlineStr">
        <is>
          <t>STORFORS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7028-2026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46289</v>
      </c>
      <c r="F87" t="inlineStr">
        <is>
          <t>VÄRMLANDS LÄN</t>
        </is>
      </c>
      <c r="G87" t="inlineStr">
        <is>
          <t>STORFORS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44969</v>
      </c>
      <c r="E88" s="1" t="n">
        <v>46289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46289</v>
      </c>
      <c r="F89" t="inlineStr">
        <is>
          <t>VÄRMLANDS LÄN</t>
        </is>
      </c>
      <c r="G89" t="inlineStr">
        <is>
          <t>STORFORS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46289</v>
      </c>
      <c r="F90" t="inlineStr">
        <is>
          <t>VÄRMLANDS LÄN</t>
        </is>
      </c>
      <c r="G90" t="inlineStr">
        <is>
          <t>STORFORS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46289</v>
      </c>
      <c r="F91" t="inlineStr">
        <is>
          <t>VÄRMLANDS LÄN</t>
        </is>
      </c>
      <c r="G91" t="inlineStr">
        <is>
          <t>STORFORS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46289</v>
      </c>
      <c r="F92" t="inlineStr">
        <is>
          <t>VÄRMLANDS LÄN</t>
        </is>
      </c>
      <c r="G92" t="inlineStr">
        <is>
          <t>STORFORS</t>
        </is>
      </c>
      <c r="H92" t="inlineStr">
        <is>
          <t>Naturvårdsverket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46289</v>
      </c>
      <c r="F93" t="inlineStr">
        <is>
          <t>VÄRMLANDS LÄN</t>
        </is>
      </c>
      <c r="G93" t="inlineStr">
        <is>
          <t>STORFORS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32964-2026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46244</v>
      </c>
      <c r="E94" s="1" t="n">
        <v>46289</v>
      </c>
      <c r="F94" t="inlineStr">
        <is>
          <t>VÄRMLANDS LÄN</t>
        </is>
      </c>
      <c r="G94" t="inlineStr">
        <is>
          <t>STORFORS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26189-2024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45468</v>
      </c>
      <c r="E95" s="1" t="n">
        <v>46289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46289</v>
      </c>
      <c r="F96" t="inlineStr">
        <is>
          <t>VÄRMLANDS LÄN</t>
        </is>
      </c>
      <c r="G96" t="inlineStr">
        <is>
          <t>STORFORS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46093</v>
      </c>
      <c r="E97" s="1" t="n">
        <v>46289</v>
      </c>
      <c r="F97" t="inlineStr">
        <is>
          <t>VÄRMLANDS LÄN</t>
        </is>
      </c>
      <c r="G97" t="inlineStr">
        <is>
          <t>STORFORS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46098</v>
      </c>
      <c r="E98" s="1" t="n">
        <v>46289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46100</v>
      </c>
      <c r="E99" s="1" t="n">
        <v>46289</v>
      </c>
      <c r="F99" t="inlineStr">
        <is>
          <t>VÄRMLANDS LÄN</t>
        </is>
      </c>
      <c r="G99" t="inlineStr">
        <is>
          <t>STORFORS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46289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46289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45007</v>
      </c>
      <c r="E102" s="1" t="n">
        <v>46289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44692</v>
      </c>
      <c r="E103" s="1" t="n">
        <v>46289</v>
      </c>
      <c r="F103" t="inlineStr">
        <is>
          <t>VÄRMLANDS LÄN</t>
        </is>
      </c>
      <c r="G103" t="inlineStr">
        <is>
          <t>STORFORS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46289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46289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46289</v>
      </c>
      <c r="F106" t="inlineStr">
        <is>
          <t>VÄRMLANDS LÄN</t>
        </is>
      </c>
      <c r="G106" t="inlineStr">
        <is>
          <t>STORFORS</t>
        </is>
      </c>
      <c r="H106" t="inlineStr">
        <is>
          <t>Naturvårdsverket</t>
        </is>
      </c>
      <c r="I106" t="n">
        <v>14.1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46289</v>
      </c>
      <c r="F107" t="inlineStr">
        <is>
          <t>VÄRMLANDS LÄN</t>
        </is>
      </c>
      <c r="G107" t="inlineStr">
        <is>
          <t>STORFORS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45875</v>
      </c>
      <c r="E108" s="1" t="n">
        <v>46289</v>
      </c>
      <c r="F108" t="inlineStr">
        <is>
          <t>VÄRMLANDS LÄN</t>
        </is>
      </c>
      <c r="G108" t="inlineStr">
        <is>
          <t>STORFORS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59449-2022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44907</v>
      </c>
      <c r="E109" s="1" t="n">
        <v>46289</v>
      </c>
      <c r="F109" t="inlineStr">
        <is>
          <t>VÄRMLANDS LÄN</t>
        </is>
      </c>
      <c r="G109" t="inlineStr">
        <is>
          <t>STORFORS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45881</v>
      </c>
      <c r="E110" s="1" t="n">
        <v>46289</v>
      </c>
      <c r="F110" t="inlineStr">
        <is>
          <t>VÄRMLANDS LÄN</t>
        </is>
      </c>
      <c r="G110" t="inlineStr">
        <is>
          <t>STORFORS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46289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45226</v>
      </c>
      <c r="E112" s="1" t="n">
        <v>46289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46289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46289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13636-2024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46289</v>
      </c>
      <c r="F115" t="inlineStr">
        <is>
          <t>VÄRMLANDS LÄN</t>
        </is>
      </c>
      <c r="G115" t="inlineStr">
        <is>
          <t>STORFORS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20311-2026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46139</v>
      </c>
      <c r="E116" s="1" t="n">
        <v>46289</v>
      </c>
      <c r="F116" t="inlineStr">
        <is>
          <t>VÄRMLANDS LÄN</t>
        </is>
      </c>
      <c r="G116" t="inlineStr">
        <is>
          <t>STORFORS</t>
        </is>
      </c>
      <c r="H116" t="inlineStr">
        <is>
          <t>Kyrkan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44658</v>
      </c>
      <c r="E117" s="1" t="n">
        <v>46289</v>
      </c>
      <c r="F117" t="inlineStr">
        <is>
          <t>VÄRMLANDS LÄN</t>
        </is>
      </c>
      <c r="G117" t="inlineStr">
        <is>
          <t>STORFORS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20453-2026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46140</v>
      </c>
      <c r="E118" s="1" t="n">
        <v>46289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16.1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46289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10.7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46289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51.6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46289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46289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46289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46289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46289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46289</v>
      </c>
      <c r="F126" t="inlineStr">
        <is>
          <t>VÄRMLANDS LÄN</t>
        </is>
      </c>
      <c r="G126" t="inlineStr">
        <is>
          <t>STORFORS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53912-2024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46289</v>
      </c>
      <c r="F127" t="inlineStr">
        <is>
          <t>VÄRMLANDS LÄN</t>
        </is>
      </c>
      <c r="G127" t="inlineStr">
        <is>
          <t>STORFORS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46289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46289</v>
      </c>
      <c r="F129" t="inlineStr">
        <is>
          <t>VÄRMLANDS LÄN</t>
        </is>
      </c>
      <c r="G129" t="inlineStr">
        <is>
          <t>STORFORS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58451-2025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45985</v>
      </c>
      <c r="E130" s="1" t="n">
        <v>46289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14.1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61586-2025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46002</v>
      </c>
      <c r="E131" s="1" t="n">
        <v>46289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24406-2026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46169</v>
      </c>
      <c r="E132" s="1" t="n">
        <v>46289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46289</v>
      </c>
      <c r="F133" t="inlineStr">
        <is>
          <t>VÄRMLANDS LÄN</t>
        </is>
      </c>
      <c r="G133" t="inlineStr">
        <is>
          <t>STORFORS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46289</v>
      </c>
      <c r="F134" t="inlineStr">
        <is>
          <t>VÄRMLANDS LÄN</t>
        </is>
      </c>
      <c r="G134" t="inlineStr">
        <is>
          <t>STORFORS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46289</v>
      </c>
      <c r="F135" t="inlineStr">
        <is>
          <t>VÄRMLANDS LÄN</t>
        </is>
      </c>
      <c r="G135" t="inlineStr">
        <is>
          <t>STORFORS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28148-2026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46289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23.6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46196</v>
      </c>
      <c r="E137" s="1" t="n">
        <v>46289</v>
      </c>
      <c r="F137" t="inlineStr">
        <is>
          <t>VÄRMLANDS LÄN</t>
        </is>
      </c>
      <c r="G137" t="inlineStr">
        <is>
          <t>STORFORS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29444-2026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46203</v>
      </c>
      <c r="E138" s="1" t="n">
        <v>46289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46203</v>
      </c>
      <c r="E139" s="1" t="n">
        <v>46289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30425-2026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46209</v>
      </c>
      <c r="E140" s="1" t="n">
        <v>46289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28979-2026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46199</v>
      </c>
      <c r="E141" s="1" t="n">
        <v>46289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46289</v>
      </c>
      <c r="F142" t="inlineStr">
        <is>
          <t>VÄRMLANDS LÄN</t>
        </is>
      </c>
      <c r="G142" t="inlineStr">
        <is>
          <t>STORFORS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34627-2026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46255</v>
      </c>
      <c r="E143" s="1" t="n">
        <v>46289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24.1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35321-2026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46261</v>
      </c>
      <c r="E144" s="1" t="n">
        <v>46289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46205</v>
      </c>
      <c r="E145" s="1" t="n">
        <v>46289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46220</v>
      </c>
      <c r="E146" s="1" t="n">
        <v>46289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46265</v>
      </c>
      <c r="E147" s="1" t="n">
        <v>46289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46289</v>
      </c>
      <c r="F148" t="inlineStr">
        <is>
          <t>VÄRMLANDS LÄN</t>
        </is>
      </c>
      <c r="G148" t="inlineStr">
        <is>
          <t>STORFORS</t>
        </is>
      </c>
      <c r="H148" t="inlineStr">
        <is>
          <t>Kyrkan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46227</v>
      </c>
      <c r="E149" s="1" t="n">
        <v>46289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46268</v>
      </c>
      <c r="E150" s="1" t="n">
        <v>46289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46232</v>
      </c>
      <c r="E151" s="1" t="n">
        <v>46289</v>
      </c>
      <c r="F151" t="inlineStr">
        <is>
          <t>VÄRMLANDS LÄN</t>
        </is>
      </c>
      <c r="G151" t="inlineStr">
        <is>
          <t>STORFORS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46280</v>
      </c>
      <c r="E152" s="1" t="n">
        <v>46289</v>
      </c>
      <c r="F152" t="inlineStr">
        <is>
          <t>VÄRMLANDS LÄN</t>
        </is>
      </c>
      <c r="G152" t="inlineStr">
        <is>
          <t>STORFORS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46281</v>
      </c>
      <c r="E153" s="1" t="n">
        <v>46289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35.1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46289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46289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46289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46289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46289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2026-09-24T01:56:31Z</dcterms:created>
  <dcterms:modified xmlns:dcterms="http://purl.org/dc/terms/" xmlns:xsi="http://www.w3.org/2001/XMLSchema-instance" xsi:type="dcterms:W3CDTF">2026-09-24T01:56:31Z</dcterms:modified>
</cp:coreProperties>
</file>