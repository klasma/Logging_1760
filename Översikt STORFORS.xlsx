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46279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46279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46279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46376-2023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46279</v>
      </c>
      <c r="F5" t="inlineStr">
        <is>
          <t>VÄRMLANDS LÄN</t>
        </is>
      </c>
      <c r="G5" t="inlineStr">
        <is>
          <t>STORFORS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s="2" t="inlineStr">
        <is>
          <t>Igelkott</t>
        </is>
      </c>
      <c r="W5">
        <f>HYPERLINK("https://klasma.github.io/Logging_1760/artfynd/A 46376-2023 artfynd.xlsx", "A 46376-2023")</f>
        <v/>
      </c>
      <c r="X5">
        <f>HYPERLINK("https://klasma.github.io/Logging_1760/kartor/A 46376-2023 karta.png", "A 46376-2023")</f>
        <v/>
      </c>
      <c r="Y5">
        <f>HYPERLINK("https://klasma.github.io/Logging_1760/kartor_geotiff/A 46376-2023 georefererad karta.tif", "A 46376-2023")</f>
        <v/>
      </c>
      <c r="AA5">
        <f>HYPERLINK("https://klasma.github.io/Logging_1760/klagomål/A 46376-2023 FSC-klagomål.docx", "A 46376-2023")</f>
        <v/>
      </c>
      <c r="AB5">
        <f>HYPERLINK("https://klasma.github.io/Logging_1760/klagomålsmail/A 46376-2023 FSC-klagomål mail.docx", "A 46376-2023")</f>
        <v/>
      </c>
      <c r="AC5">
        <f>HYPERLINK("https://klasma.github.io/Logging_1760/tillsyn/A 46376-2023 tillsynsbegäran.docx", "A 46376-2023")</f>
        <v/>
      </c>
      <c r="AD5">
        <f>HYPERLINK("https://klasma.github.io/Logging_1760/tillsynsmail/A 46376-2023 tillsynsbegäran mail.docx", "A 46376-2023")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46279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46279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46279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46279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46279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46279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46279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46279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46279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46279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46279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46279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46279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46279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48591-2024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45593</v>
      </c>
      <c r="E20" s="1" t="n">
        <v>46279</v>
      </c>
      <c r="F20" t="inlineStr">
        <is>
          <t>VÄRMLANDS LÄN</t>
        </is>
      </c>
      <c r="G20" t="inlineStr">
        <is>
          <t>STORFORS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33806-2024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45520</v>
      </c>
      <c r="E21" s="1" t="n">
        <v>46279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46279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23279-2024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45453</v>
      </c>
      <c r="E23" s="1" t="n">
        <v>46279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44939</v>
      </c>
      <c r="E24" s="1" t="n">
        <v>46279</v>
      </c>
      <c r="F24" t="inlineStr">
        <is>
          <t>VÄRMLANDS LÄN</t>
        </is>
      </c>
      <c r="G24" t="inlineStr">
        <is>
          <t>STORFORS</t>
        </is>
      </c>
      <c r="H24" t="inlineStr">
        <is>
          <t>Kyrkan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57792-2022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44897</v>
      </c>
      <c r="E25" s="1" t="n">
        <v>46279</v>
      </c>
      <c r="F25" t="inlineStr">
        <is>
          <t>VÄRMLANDS LÄN</t>
        </is>
      </c>
      <c r="G25" t="inlineStr">
        <is>
          <t>STORFORS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38176-2024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46279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54190-2023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45232</v>
      </c>
      <c r="E27" s="1" t="n">
        <v>46279</v>
      </c>
      <c r="F27" t="inlineStr">
        <is>
          <t>VÄRMLANDS LÄN</t>
        </is>
      </c>
      <c r="G27" t="inlineStr">
        <is>
          <t>STORFORS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47713-2024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45588</v>
      </c>
      <c r="E28" s="1" t="n">
        <v>46279</v>
      </c>
      <c r="F28" t="inlineStr">
        <is>
          <t>VÄRMLANDS LÄN</t>
        </is>
      </c>
      <c r="G28" t="inlineStr">
        <is>
          <t>STORFORS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47732-2024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45588</v>
      </c>
      <c r="E29" s="1" t="n">
        <v>46279</v>
      </c>
      <c r="F29" t="inlineStr">
        <is>
          <t>VÄRMLANDS LÄN</t>
        </is>
      </c>
      <c r="G29" t="inlineStr">
        <is>
          <t>STORFORS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46279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46279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26189-2024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46279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53388-2024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45614</v>
      </c>
      <c r="E33" s="1" t="n">
        <v>46279</v>
      </c>
      <c r="F33" t="inlineStr">
        <is>
          <t>VÄRMLANDS LÄN</t>
        </is>
      </c>
      <c r="G33" t="inlineStr">
        <is>
          <t>STORFORS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39998-2023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46279</v>
      </c>
      <c r="F34" t="inlineStr">
        <is>
          <t>VÄRMLANDS LÄN</t>
        </is>
      </c>
      <c r="G34" t="inlineStr">
        <is>
          <t>STORFORS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46279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45711</v>
      </c>
      <c r="E36" s="1" t="n">
        <v>46279</v>
      </c>
      <c r="F36" t="inlineStr">
        <is>
          <t>VÄRMLANDS LÄN</t>
        </is>
      </c>
      <c r="G36" t="inlineStr">
        <is>
          <t>STORFORS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46279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33273-2025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45840</v>
      </c>
      <c r="E38" s="1" t="n">
        <v>46279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45875</v>
      </c>
      <c r="E39" s="1" t="n">
        <v>46279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46279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46612-2025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45926</v>
      </c>
      <c r="E41" s="1" t="n">
        <v>46279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20725-2023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45058</v>
      </c>
      <c r="E42" s="1" t="n">
        <v>46279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45881</v>
      </c>
      <c r="E43" s="1" t="n">
        <v>46279</v>
      </c>
      <c r="F43" t="inlineStr">
        <is>
          <t>VÄRMLANDS LÄN</t>
        </is>
      </c>
      <c r="G43" t="inlineStr">
        <is>
          <t>STORFORS</t>
        </is>
      </c>
      <c r="I43" t="n">
        <v>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44930</v>
      </c>
      <c r="E44" s="1" t="n">
        <v>46279</v>
      </c>
      <c r="F44" t="inlineStr">
        <is>
          <t>VÄRMLANDS LÄN</t>
        </is>
      </c>
      <c r="G44" t="inlineStr">
        <is>
          <t>STORFORS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45204</v>
      </c>
      <c r="E45" s="1" t="n">
        <v>46279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46279</v>
      </c>
      <c r="F46" t="inlineStr">
        <is>
          <t>VÄRMLANDS LÄN</t>
        </is>
      </c>
      <c r="G46" t="inlineStr">
        <is>
          <t>STORFORS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46098</v>
      </c>
      <c r="E47" s="1" t="n">
        <v>46279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46279</v>
      </c>
      <c r="F48" t="inlineStr">
        <is>
          <t>VÄRMLANDS LÄN</t>
        </is>
      </c>
      <c r="G48" t="inlineStr">
        <is>
          <t>STORFORS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45957</v>
      </c>
      <c r="E49" s="1" t="n">
        <v>46279</v>
      </c>
      <c r="F49" t="inlineStr">
        <is>
          <t>VÄRMLANDS LÄN</t>
        </is>
      </c>
      <c r="G49" t="inlineStr">
        <is>
          <t>STORFORS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46279</v>
      </c>
      <c r="F50" t="inlineStr">
        <is>
          <t>VÄRMLANDS LÄN</t>
        </is>
      </c>
      <c r="G50" t="inlineStr">
        <is>
          <t>STORFORS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45961</v>
      </c>
      <c r="E51" s="1" t="n">
        <v>46279</v>
      </c>
      <c r="F51" t="inlineStr">
        <is>
          <t>VÄRMLANDS LÄN</t>
        </is>
      </c>
      <c r="G51" t="inlineStr">
        <is>
          <t>STORFORS</t>
        </is>
      </c>
      <c r="H51" t="inlineStr">
        <is>
          <t>Naturvårdsverket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16421-2026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46111</v>
      </c>
      <c r="E52" s="1" t="n">
        <v>46279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55234-2025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45968</v>
      </c>
      <c r="E53" s="1" t="n">
        <v>46279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46279</v>
      </c>
      <c r="F54" t="inlineStr">
        <is>
          <t>VÄRMLANDS LÄN</t>
        </is>
      </c>
      <c r="G54" t="inlineStr">
        <is>
          <t>STORFORS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56525-2025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45975</v>
      </c>
      <c r="E55" s="1" t="n">
        <v>46279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45028</v>
      </c>
      <c r="E56" s="1" t="n">
        <v>46279</v>
      </c>
      <c r="F56" t="inlineStr">
        <is>
          <t>VÄRMLANDS LÄN</t>
        </is>
      </c>
      <c r="G56" t="inlineStr">
        <is>
          <t>STORFORS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47728-2023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45203</v>
      </c>
      <c r="E57" s="1" t="n">
        <v>46279</v>
      </c>
      <c r="F57" t="inlineStr">
        <is>
          <t>VÄRMLANDS LÄN</t>
        </is>
      </c>
      <c r="G57" t="inlineStr">
        <is>
          <t>STORFORS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46279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60511-2025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45995</v>
      </c>
      <c r="E59" s="1" t="n">
        <v>46279</v>
      </c>
      <c r="F59" t="inlineStr">
        <is>
          <t>VÄRMLANDS LÄN</t>
        </is>
      </c>
      <c r="G59" t="inlineStr">
        <is>
          <t>STORFORS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45669</v>
      </c>
      <c r="E60" s="1" t="n">
        <v>46279</v>
      </c>
      <c r="F60" t="inlineStr">
        <is>
          <t>VÄRMLANDS LÄN</t>
        </is>
      </c>
      <c r="G60" t="inlineStr">
        <is>
          <t>STORFORS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61123-2025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46000</v>
      </c>
      <c r="E61" s="1" t="n">
        <v>46279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46279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46013</v>
      </c>
      <c r="E63" s="1" t="n">
        <v>46279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20533-2026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46279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46279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45112</v>
      </c>
      <c r="E66" s="1" t="n">
        <v>46279</v>
      </c>
      <c r="F66" t="inlineStr">
        <is>
          <t>VÄRMLANDS LÄN</t>
        </is>
      </c>
      <c r="G66" t="inlineStr">
        <is>
          <t>STORFORS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63080-2025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46009</v>
      </c>
      <c r="E67" s="1" t="n">
        <v>46279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44178-2025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45915</v>
      </c>
      <c r="E68" s="1" t="n">
        <v>46279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59146-2025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45988</v>
      </c>
      <c r="E69" s="1" t="n">
        <v>46279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9.9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49580-2025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45939</v>
      </c>
      <c r="E70" s="1" t="n">
        <v>46279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45226</v>
      </c>
      <c r="E71" s="1" t="n">
        <v>46279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20527-2026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46140</v>
      </c>
      <c r="E72" s="1" t="n">
        <v>46279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46279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46139</v>
      </c>
      <c r="E74" s="1" t="n">
        <v>46279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70761-2021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44536</v>
      </c>
      <c r="E75" s="1" t="n">
        <v>46279</v>
      </c>
      <c r="F75" t="inlineStr">
        <is>
          <t>VÄRMLANDS LÄN</t>
        </is>
      </c>
      <c r="G75" t="inlineStr">
        <is>
          <t>STORFORS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4868-2026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46048</v>
      </c>
      <c r="E76" s="1" t="n">
        <v>46279</v>
      </c>
      <c r="F76" t="inlineStr">
        <is>
          <t>VÄRMLANDS LÄN</t>
        </is>
      </c>
      <c r="G76" t="inlineStr">
        <is>
          <t>STORFORS</t>
        </is>
      </c>
      <c r="I76" t="n">
        <v>10.8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46279</v>
      </c>
      <c r="F77" t="inlineStr">
        <is>
          <t>VÄRMLANDS LÄN</t>
        </is>
      </c>
      <c r="G77" t="inlineStr">
        <is>
          <t>STORFORS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20453-2026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46279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46279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46279</v>
      </c>
      <c r="F80" t="inlineStr">
        <is>
          <t>VÄRMLANDS LÄN</t>
        </is>
      </c>
      <c r="G80" t="inlineStr">
        <is>
          <t>STORFORS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46057</v>
      </c>
      <c r="E81" s="1" t="n">
        <v>46279</v>
      </c>
      <c r="F81" t="inlineStr">
        <is>
          <t>VÄRMLANDS LÄN</t>
        </is>
      </c>
      <c r="G81" t="inlineStr">
        <is>
          <t>STORFORS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20543-2026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46279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46059</v>
      </c>
      <c r="E83" s="1" t="n">
        <v>46279</v>
      </c>
      <c r="F83" t="inlineStr">
        <is>
          <t>VÄRMLANDS LÄN</t>
        </is>
      </c>
      <c r="G83" t="inlineStr">
        <is>
          <t>STORFORS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46279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46279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46279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29002-2023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46279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46279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2363-2023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44938</v>
      </c>
      <c r="E89" s="1" t="n">
        <v>46279</v>
      </c>
      <c r="F89" t="inlineStr">
        <is>
          <t>VÄRMLANDS LÄN</t>
        </is>
      </c>
      <c r="G89" t="inlineStr">
        <is>
          <t>STORFORS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45068</v>
      </c>
      <c r="E90" s="1" t="n">
        <v>46279</v>
      </c>
      <c r="F90" t="inlineStr">
        <is>
          <t>VÄRMLANDS LÄN</t>
        </is>
      </c>
      <c r="G90" t="inlineStr">
        <is>
          <t>STORFORS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45401</v>
      </c>
      <c r="E91" s="1" t="n">
        <v>46279</v>
      </c>
      <c r="F91" t="inlineStr">
        <is>
          <t>VÄRMLANDS LÄN</t>
        </is>
      </c>
      <c r="G91" t="inlineStr">
        <is>
          <t>STORFORS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20749-2026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46279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46146</v>
      </c>
      <c r="E93" s="1" t="n">
        <v>46279</v>
      </c>
      <c r="F93" t="inlineStr">
        <is>
          <t>VÄRMLANDS LÄN</t>
        </is>
      </c>
      <c r="G93" t="inlineStr">
        <is>
          <t>STORFORS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46279</v>
      </c>
      <c r="F94" t="inlineStr">
        <is>
          <t>VÄRMLANDS LÄN</t>
        </is>
      </c>
      <c r="G94" t="inlineStr">
        <is>
          <t>STORFORS</t>
        </is>
      </c>
      <c r="H94" t="inlineStr">
        <is>
          <t>Kyrkan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46279</v>
      </c>
      <c r="F95" t="inlineStr">
        <is>
          <t>VÄRMLANDS LÄN</t>
        </is>
      </c>
      <c r="G95" t="inlineStr">
        <is>
          <t>STORFORS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22935-2023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45072</v>
      </c>
      <c r="E96" s="1" t="n">
        <v>46279</v>
      </c>
      <c r="F96" t="inlineStr">
        <is>
          <t>VÄRMLANDS LÄN</t>
        </is>
      </c>
      <c r="G96" t="inlineStr">
        <is>
          <t>STORFORS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46279</v>
      </c>
      <c r="F97" t="inlineStr">
        <is>
          <t>VÄRMLANDS LÄN</t>
        </is>
      </c>
      <c r="G97" t="inlineStr">
        <is>
          <t>STORFORS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46279</v>
      </c>
      <c r="F98" t="inlineStr">
        <is>
          <t>VÄRMLANDS LÄN</t>
        </is>
      </c>
      <c r="G98" t="inlineStr">
        <is>
          <t>STORFORS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58451-2025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46279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61586-2025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46002</v>
      </c>
      <c r="E100" s="1" t="n">
        <v>46279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46279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8269-2025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45708</v>
      </c>
      <c r="E102" s="1" t="n">
        <v>46279</v>
      </c>
      <c r="F102" t="inlineStr">
        <is>
          <t>VÄRMLANDS LÄN</t>
        </is>
      </c>
      <c r="G102" t="inlineStr">
        <is>
          <t>STORFORS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41479-2024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46279</v>
      </c>
      <c r="F103" t="inlineStr">
        <is>
          <t>VÄRMLANDS LÄN</t>
        </is>
      </c>
      <c r="G103" t="inlineStr">
        <is>
          <t>STORFORS</t>
        </is>
      </c>
      <c r="H103" t="inlineStr">
        <is>
          <t>Naturvårdsverket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46279</v>
      </c>
      <c r="F104" t="inlineStr">
        <is>
          <t>VÄRMLANDS LÄN</t>
        </is>
      </c>
      <c r="G104" t="inlineStr">
        <is>
          <t>STORFORS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46279</v>
      </c>
      <c r="F105" t="inlineStr">
        <is>
          <t>VÄRMLANDS LÄN</t>
        </is>
      </c>
      <c r="G105" t="inlineStr">
        <is>
          <t>STORFORS</t>
        </is>
      </c>
      <c r="H105" t="inlineStr">
        <is>
          <t>Naturvårdsverket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46279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24406-2026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46169</v>
      </c>
      <c r="E107" s="1" t="n">
        <v>46279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24442-2026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46170</v>
      </c>
      <c r="E108" s="1" t="n">
        <v>46279</v>
      </c>
      <c r="F108" t="inlineStr">
        <is>
          <t>VÄRMLANDS LÄN</t>
        </is>
      </c>
      <c r="G108" t="inlineStr">
        <is>
          <t>STORFORS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46279</v>
      </c>
      <c r="F109" t="inlineStr">
        <is>
          <t>VÄRMLANDS LÄN</t>
        </is>
      </c>
      <c r="G109" t="inlineStr">
        <is>
          <t>STORFORS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26067-2026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46279</v>
      </c>
      <c r="F110" t="inlineStr">
        <is>
          <t>VÄRMLANDS LÄN</t>
        </is>
      </c>
      <c r="G110" t="inlineStr">
        <is>
          <t>STORFORS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46279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46279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46279</v>
      </c>
      <c r="F113" t="inlineStr">
        <is>
          <t>VÄRMLANDS LÄN</t>
        </is>
      </c>
      <c r="G113" t="inlineStr">
        <is>
          <t>STORFORS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46279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17756-2023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45037</v>
      </c>
      <c r="E115" s="1" t="n">
        <v>46279</v>
      </c>
      <c r="F115" t="inlineStr">
        <is>
          <t>VÄRMLANDS LÄN</t>
        </is>
      </c>
      <c r="G115" t="inlineStr">
        <is>
          <t>STORFORS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28467-2022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44747</v>
      </c>
      <c r="E116" s="1" t="n">
        <v>46279</v>
      </c>
      <c r="F116" t="inlineStr">
        <is>
          <t>VÄRMLANDS LÄN</t>
        </is>
      </c>
      <c r="G116" t="inlineStr">
        <is>
          <t>STORFORS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44969</v>
      </c>
      <c r="E117" s="1" t="n">
        <v>46279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28148-2026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46279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23.6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44900</v>
      </c>
      <c r="E119" s="1" t="n">
        <v>46279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46279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32964-2026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46279</v>
      </c>
      <c r="F121" t="inlineStr">
        <is>
          <t>VÄRMLANDS LÄN</t>
        </is>
      </c>
      <c r="G121" t="inlineStr">
        <is>
          <t>STORFORS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46279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29444-2026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46279</v>
      </c>
      <c r="F123" t="inlineStr">
        <is>
          <t>VÄRMLANDS LÄN</t>
        </is>
      </c>
      <c r="G123" t="inlineStr">
        <is>
          <t>STORFORS</t>
        </is>
      </c>
      <c r="H123" t="inlineStr">
        <is>
          <t>Naturvårdsverket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46279</v>
      </c>
      <c r="F124" t="inlineStr">
        <is>
          <t>VÄRMLANDS LÄN</t>
        </is>
      </c>
      <c r="G124" t="inlineStr">
        <is>
          <t>STORFORS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46279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46279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13795-2023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45007</v>
      </c>
      <c r="E127" s="1" t="n">
        <v>46279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46279</v>
      </c>
      <c r="F128" t="inlineStr">
        <is>
          <t>VÄRMLANDS LÄN</t>
        </is>
      </c>
      <c r="G128" t="inlineStr">
        <is>
          <t>STORFORS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28979-2026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46199</v>
      </c>
      <c r="E129" s="1" t="n">
        <v>46279</v>
      </c>
      <c r="F129" t="inlineStr">
        <is>
          <t>VÄRMLANDS LÄN</t>
        </is>
      </c>
      <c r="G129" t="inlineStr">
        <is>
          <t>STORFORS</t>
        </is>
      </c>
      <c r="H129" t="inlineStr">
        <is>
          <t>Kyrkan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46258</v>
      </c>
      <c r="E130" s="1" t="n">
        <v>46279</v>
      </c>
      <c r="F130" t="inlineStr">
        <is>
          <t>VÄRMLANDS LÄN</t>
        </is>
      </c>
      <c r="G130" t="inlineStr">
        <is>
          <t>STORFORS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46279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46279</v>
      </c>
      <c r="F132" t="inlineStr">
        <is>
          <t>VÄRMLANDS LÄN</t>
        </is>
      </c>
      <c r="G132" t="inlineStr">
        <is>
          <t>STORFORS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46261</v>
      </c>
      <c r="E133" s="1" t="n">
        <v>46279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29829-2026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46279</v>
      </c>
      <c r="F134" t="inlineStr">
        <is>
          <t>VÄRMLANDS LÄN</t>
        </is>
      </c>
      <c r="G134" t="inlineStr">
        <is>
          <t>STORFORS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59449-2022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44907</v>
      </c>
      <c r="E135" s="1" t="n">
        <v>46279</v>
      </c>
      <c r="F135" t="inlineStr">
        <is>
          <t>VÄRMLANDS LÄN</t>
        </is>
      </c>
      <c r="G135" t="inlineStr">
        <is>
          <t>STORFORS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31441-2026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46220</v>
      </c>
      <c r="E136" s="1" t="n">
        <v>46279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35672-2026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46265</v>
      </c>
      <c r="E137" s="1" t="n">
        <v>46279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46268</v>
      </c>
      <c r="E138" s="1" t="n">
        <v>46279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46279</v>
      </c>
      <c r="F139" t="inlineStr">
        <is>
          <t>VÄRMLANDS LÄN</t>
        </is>
      </c>
      <c r="G139" t="inlineStr">
        <is>
          <t>STORFORS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46227</v>
      </c>
      <c r="E140" s="1" t="n">
        <v>46279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46279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46279</v>
      </c>
      <c r="F142" t="inlineStr">
        <is>
          <t>VÄRMLANDS LÄN</t>
        </is>
      </c>
      <c r="G142" t="inlineStr">
        <is>
          <t>STORFORS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46279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51.6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46279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46232</v>
      </c>
      <c r="E145" s="1" t="n">
        <v>46279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46279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46279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49596-2024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45596</v>
      </c>
      <c r="E148" s="1" t="n">
        <v>46279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14605-2024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45396</v>
      </c>
      <c r="E149" s="1" t="n">
        <v>46279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9.6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45660</v>
      </c>
      <c r="E150" s="1" t="n">
        <v>46279</v>
      </c>
      <c r="F150" t="inlineStr">
        <is>
          <t>VÄRMLANDS LÄN</t>
        </is>
      </c>
      <c r="G150" t="inlineStr">
        <is>
          <t>STORFORS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46279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46279</v>
      </c>
      <c r="F152" t="inlineStr">
        <is>
          <t>VÄRMLANDS LÄN</t>
        </is>
      </c>
      <c r="G152" t="inlineStr">
        <is>
          <t>STORFORS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4139-2023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45247</v>
      </c>
      <c r="E153" s="1" t="n">
        <v>46279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4141-2023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46279</v>
      </c>
      <c r="F154" t="inlineStr">
        <is>
          <t>VÄRMLANDS LÄN</t>
        </is>
      </c>
      <c r="G154" t="inlineStr">
        <is>
          <t>STORFORS</t>
        </is>
      </c>
      <c r="H154" t="inlineStr">
        <is>
          <t>Naturvårdsverket</t>
        </is>
      </c>
      <c r="I154" t="n">
        <v>20.6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733-2025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45716</v>
      </c>
      <c r="E155" s="1" t="n">
        <v>46279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33.7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98-2026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46036</v>
      </c>
      <c r="E156" s="1" t="n">
        <v>46279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72.5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1683-2026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46182</v>
      </c>
      <c r="E157" s="1" t="n">
        <v>46279</v>
      </c>
      <c r="F157" t="inlineStr">
        <is>
          <t>VÄRMLANDS LÄN</t>
        </is>
      </c>
      <c r="G157" t="inlineStr">
        <is>
          <t>STORFORS</t>
        </is>
      </c>
      <c r="I157" t="n">
        <v>37.1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2026-09-14T02:12:38Z</dcterms:created>
  <dcterms:modified xmlns:dcterms="http://purl.org/dc/terms/" xmlns:xsi="http://www.w3.org/2001/XMLSchema-instance" xsi:type="dcterms:W3CDTF">2026-09-14T02:12:38Z</dcterms:modified>
</cp:coreProperties>
</file>