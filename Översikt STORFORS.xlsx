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24631-2024</t>
        </is>
      </c>
      <c r="B2" s="1" t="n">
        <v>45460</v>
      </c>
      <c r="C2" s="1" t="n">
        <v>45877</v>
      </c>
      <c r="D2" t="inlineStr">
        <is>
          <t>VÄRMLANDS LÄN</t>
        </is>
      </c>
      <c r="E2" t="inlineStr">
        <is>
          <t>STORFORS</t>
        </is>
      </c>
      <c r="G2" t="n">
        <v>21.2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Björktrast
Gulsparv
Havsörn
Mindre hackspett
Smålom
Enkelbeckasin
Gröngöling
Grönsiska
Nattskärra
Trana</t>
        </is>
      </c>
      <c r="S2">
        <f>HYPERLINK("https://klasma.github.io/Logging_1760/artfynd/A 24631-2024 artfynd.xlsx", "A 24631-2024")</f>
        <v/>
      </c>
      <c r="T2">
        <f>HYPERLINK("https://klasma.github.io/Logging_1760/kartor/A 24631-2024 karta.png", "A 24631-2024")</f>
        <v/>
      </c>
      <c r="V2">
        <f>HYPERLINK("https://klasma.github.io/Logging_1760/klagomål/A 24631-2024 FSC-klagomål.docx", "A 24631-2024")</f>
        <v/>
      </c>
      <c r="W2">
        <f>HYPERLINK("https://klasma.github.io/Logging_1760/klagomålsmail/A 24631-2024 FSC-klagomål mail.docx", "A 24631-2024")</f>
        <v/>
      </c>
      <c r="X2">
        <f>HYPERLINK("https://klasma.github.io/Logging_1760/tillsyn/A 24631-2024 tillsynsbegäran.docx", "A 24631-2024")</f>
        <v/>
      </c>
      <c r="Y2">
        <f>HYPERLINK("https://klasma.github.io/Logging_1760/tillsynsmail/A 24631-2024 tillsynsbegäran mail.docx", "A 24631-2024")</f>
        <v/>
      </c>
      <c r="Z2">
        <f>HYPERLINK("https://klasma.github.io/Logging_1760/fåglar/A 24631-2024 prioriterade fågelarter.docx", "A 24631-2024")</f>
        <v/>
      </c>
    </row>
    <row r="3" ht="15" customHeight="1">
      <c r="A3" t="inlineStr">
        <is>
          <t>A 21083-2023</t>
        </is>
      </c>
      <c r="B3" s="1" t="n">
        <v>45061</v>
      </c>
      <c r="C3" s="1" t="n">
        <v>45877</v>
      </c>
      <c r="D3" t="inlineStr">
        <is>
          <t>VÄRMLANDS LÄN</t>
        </is>
      </c>
      <c r="E3" t="inlineStr">
        <is>
          <t>STORFORS</t>
        </is>
      </c>
      <c r="G3" t="n">
        <v>7.4</v>
      </c>
      <c r="H3" t="n">
        <v>2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Tretåig hackspett
Ullticka
Vedtrappmossa
Thomsons trägnagare
Vedticka
Västlig hakmossa</t>
        </is>
      </c>
      <c r="S3">
        <f>HYPERLINK("https://klasma.github.io/Logging_1760/artfynd/A 21083-2023 artfynd.xlsx", "A 21083-2023")</f>
        <v/>
      </c>
      <c r="T3">
        <f>HYPERLINK("https://klasma.github.io/Logging_1760/kartor/A 21083-2023 karta.png", "A 21083-2023")</f>
        <v/>
      </c>
      <c r="U3">
        <f>HYPERLINK("https://klasma.github.io/Logging_1760/knärot/A 21083-2023 karta knärot.png", "A 21083-2023")</f>
        <v/>
      </c>
      <c r="V3">
        <f>HYPERLINK("https://klasma.github.io/Logging_1760/klagomål/A 21083-2023 FSC-klagomål.docx", "A 21083-2023")</f>
        <v/>
      </c>
      <c r="W3">
        <f>HYPERLINK("https://klasma.github.io/Logging_1760/klagomålsmail/A 21083-2023 FSC-klagomål mail.docx", "A 21083-2023")</f>
        <v/>
      </c>
      <c r="X3">
        <f>HYPERLINK("https://klasma.github.io/Logging_1760/tillsyn/A 21083-2023 tillsynsbegäran.docx", "A 21083-2023")</f>
        <v/>
      </c>
      <c r="Y3">
        <f>HYPERLINK("https://klasma.github.io/Logging_1760/tillsynsmail/A 21083-2023 tillsynsbegäran mail.docx", "A 21083-2023")</f>
        <v/>
      </c>
      <c r="Z3">
        <f>HYPERLINK("https://klasma.github.io/Logging_1760/fåglar/A 21083-2023 prioriterade fågelarter.docx", "A 21083-2023")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45877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45877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45877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45877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45877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45877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42350-2023</t>
        </is>
      </c>
      <c r="B10" s="1" t="n">
        <v>45180</v>
      </c>
      <c r="C10" s="1" t="n">
        <v>45877</v>
      </c>
      <c r="D10" t="inlineStr">
        <is>
          <t>VÄRMLANDS LÄN</t>
        </is>
      </c>
      <c r="E10" t="inlineStr">
        <is>
          <t>STORFORS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42350-2023 artfynd.xlsx", "A 42350-2023")</f>
        <v/>
      </c>
      <c r="T10">
        <f>HYPERLINK("https://klasma.github.io/Logging_1760/kartor/A 42350-2023 karta.png", "A 42350-2023")</f>
        <v/>
      </c>
      <c r="V10">
        <f>HYPERLINK("https://klasma.github.io/Logging_1760/klagomål/A 42350-2023 FSC-klagomål.docx", "A 42350-2023")</f>
        <v/>
      </c>
      <c r="W10">
        <f>HYPERLINK("https://klasma.github.io/Logging_1760/klagomålsmail/A 42350-2023 FSC-klagomål mail.docx", "A 42350-2023")</f>
        <v/>
      </c>
      <c r="X10">
        <f>HYPERLINK("https://klasma.github.io/Logging_1760/tillsyn/A 42350-2023 tillsynsbegäran.docx", "A 42350-2023")</f>
        <v/>
      </c>
      <c r="Y10">
        <f>HYPERLINK("https://klasma.github.io/Logging_1760/tillsynsmail/A 42350-2023 tillsynsbegäran mail.docx", "A 42350-2023")</f>
        <v/>
      </c>
      <c r="Z10">
        <f>HYPERLINK("https://klasma.github.io/Logging_1760/fåglar/A 42350-2023 prioriterade fågelarter.docx", "A 42350-2023")</f>
        <v/>
      </c>
    </row>
    <row r="11" ht="15" customHeight="1">
      <c r="A11" t="inlineStr">
        <is>
          <t>A 17084-2024</t>
        </is>
      </c>
      <c r="B11" s="1" t="n">
        <v>45412</v>
      </c>
      <c r="C11" s="1" t="n">
        <v>45877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HYPERLINK("https://klasma.github.io/Logging_1760/artfynd/A 17084-2024 artfynd.xlsx", "A 17084-2024")</f>
        <v/>
      </c>
      <c r="T11">
        <f>HYPERLINK("https://klasma.github.io/Logging_1760/kartor/A 17084-2024 karta.png", "A 17084-2024")</f>
        <v/>
      </c>
      <c r="V11">
        <f>HYPERLINK("https://klasma.github.io/Logging_1760/klagomål/A 17084-2024 FSC-klagomål.docx", "A 17084-2024")</f>
        <v/>
      </c>
      <c r="W11">
        <f>HYPERLINK("https://klasma.github.io/Logging_1760/klagomålsmail/A 17084-2024 FSC-klagomål mail.docx", "A 17084-2024")</f>
        <v/>
      </c>
      <c r="X11">
        <f>HYPERLINK("https://klasma.github.io/Logging_1760/tillsyn/A 17084-2024 tillsynsbegäran.docx", "A 17084-2024")</f>
        <v/>
      </c>
      <c r="Y11">
        <f>HYPERLINK("https://klasma.github.io/Logging_1760/tillsynsmail/A 17084-2024 tillsynsbegäran mail.docx", "A 17084-2024")</f>
        <v/>
      </c>
      <c r="Z11">
        <f>HYPERLINK("https://klasma.github.io/Logging_1760/fåglar/A 17084-2024 prioriterade fågelarter.docx", "A 17084-2024")</f>
        <v/>
      </c>
    </row>
    <row r="12" ht="15" customHeight="1">
      <c r="A12" t="inlineStr">
        <is>
          <t>A 23023-2025</t>
        </is>
      </c>
      <c r="B12" s="1" t="n">
        <v>45790</v>
      </c>
      <c r="C12" s="1" t="n">
        <v>45877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HYPERLINK("https://klasma.github.io/Logging_171760/artfynd/A 23023-2025 artfynd.xlsx", "A 23023-2025")</f>
        <v/>
      </c>
      <c r="T12">
        <f>HYPERLINK("https://klasma.github.io/Logging_171760/kartor/A 23023-2025 karta.png", "A 23023-2025")</f>
        <v/>
      </c>
      <c r="V12">
        <f>HYPERLINK("https://klasma.github.io/Logging_171760/klagomål/A 23023-2025 FSC-klagomål.docx", "A 23023-2025")</f>
        <v/>
      </c>
      <c r="W12">
        <f>HYPERLINK("https://klasma.github.io/Logging_171760/klagomålsmail/A 23023-2025 FSC-klagomål mail.docx", "A 23023-2025")</f>
        <v/>
      </c>
      <c r="X12">
        <f>HYPERLINK("https://klasma.github.io/Logging_171760/tillsyn/A 23023-2025 tillsynsbegäran.docx", "A 23023-2025")</f>
        <v/>
      </c>
      <c r="Y12">
        <f>HYPERLINK("https://klasma.github.io/Logging_171760/tillsynsmail/A 23023-2025 tillsynsbegäran mail.docx", "A 23023-2025")</f>
        <v/>
      </c>
    </row>
    <row r="13" ht="15" customHeight="1">
      <c r="A13" t="inlineStr">
        <is>
          <t>A 33518-2025</t>
        </is>
      </c>
      <c r="B13" s="1" t="n">
        <v>45841</v>
      </c>
      <c r="C13" s="1" t="n">
        <v>45877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HYPERLINK("https://klasma.github.io/Logging_171760/artfynd/A 33518-2025 artfynd.xlsx", "A 33518-2025")</f>
        <v/>
      </c>
      <c r="T13">
        <f>HYPERLINK("https://klasma.github.io/Logging_171760/kartor/A 33518-2025 karta.png", "A 33518-2025")</f>
        <v/>
      </c>
      <c r="V13">
        <f>HYPERLINK("https://klasma.github.io/Logging_171760/klagomål/A 33518-2025 FSC-klagomål.docx", "A 33518-2025")</f>
        <v/>
      </c>
      <c r="W13">
        <f>HYPERLINK("https://klasma.github.io/Logging_171760/klagomålsmail/A 33518-2025 FSC-klagomål mail.docx", "A 33518-2025")</f>
        <v/>
      </c>
      <c r="X13">
        <f>HYPERLINK("https://klasma.github.io/Logging_171760/tillsyn/A 33518-2025 tillsynsbegäran.docx", "A 33518-2025")</f>
        <v/>
      </c>
      <c r="Y13">
        <f>HYPERLINK("https://klasma.github.io/Logging_171760/tillsynsmail/A 33518-2025 tillsynsbegäran mail.docx", "A 33518-2025")</f>
        <v/>
      </c>
    </row>
    <row r="14" ht="15" customHeight="1">
      <c r="A14" t="inlineStr">
        <is>
          <t>A 18750-2019</t>
        </is>
      </c>
      <c r="B14" s="1" t="n">
        <v>43560</v>
      </c>
      <c r="C14" s="1" t="n">
        <v>45877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19487-2019</t>
        </is>
      </c>
      <c r="B15" s="1" t="n">
        <v>43565</v>
      </c>
      <c r="C15" s="1" t="n">
        <v>45877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22724-2019</t>
        </is>
      </c>
      <c r="B16" s="1" t="n">
        <v>43588</v>
      </c>
      <c r="C16" s="1" t="n">
        <v>45877</v>
      </c>
      <c r="D16" t="inlineStr">
        <is>
          <t>VÄRMLANDS LÄN</t>
        </is>
      </c>
      <c r="E16" t="inlineStr">
        <is>
          <t>STORFORS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27714-2019</t>
        </is>
      </c>
      <c r="B17" s="1" t="n">
        <v>43619</v>
      </c>
      <c r="C17" s="1" t="n">
        <v>45877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28409-2019</t>
        </is>
      </c>
      <c r="B18" s="1" t="n">
        <v>43626</v>
      </c>
      <c r="C18" s="1" t="n">
        <v>45877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28823-2019</t>
        </is>
      </c>
      <c r="B19" s="1" t="n">
        <v>43627</v>
      </c>
      <c r="C19" s="1" t="n">
        <v>45877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28832-2019</t>
        </is>
      </c>
      <c r="B20" s="1" t="n">
        <v>43627</v>
      </c>
      <c r="C20" s="1" t="n">
        <v>45877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32013-2019</t>
        </is>
      </c>
      <c r="B21" s="1" t="n">
        <v>43642</v>
      </c>
      <c r="C21" s="1" t="n">
        <v>45877</v>
      </c>
      <c r="D21" t="inlineStr">
        <is>
          <t>VÄRMLANDS LÄN</t>
        </is>
      </c>
      <c r="E21" t="inlineStr">
        <is>
          <t>STORFORS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33309-2019</t>
        </is>
      </c>
      <c r="B22" s="1" t="n">
        <v>43650</v>
      </c>
      <c r="C22" s="1" t="n">
        <v>45877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38403-2019</t>
        </is>
      </c>
      <c r="B23" s="1" t="n">
        <v>43685</v>
      </c>
      <c r="C23" s="1" t="n">
        <v>45877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42.3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50351-2019</t>
        </is>
      </c>
      <c r="B24" s="1" t="n">
        <v>43735</v>
      </c>
      <c r="C24" s="1" t="n">
        <v>45877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62101-2019</t>
        </is>
      </c>
      <c r="B25" s="1" t="n">
        <v>43787</v>
      </c>
      <c r="C25" s="1" t="n">
        <v>45877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62207-2019</t>
        </is>
      </c>
      <c r="B26" s="1" t="n">
        <v>43788</v>
      </c>
      <c r="C26" s="1" t="n">
        <v>45877</v>
      </c>
      <c r="D26" t="inlineStr">
        <is>
          <t>VÄRMLANDS LÄN</t>
        </is>
      </c>
      <c r="E26" t="inlineStr">
        <is>
          <t>STORFORS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62989-2019</t>
        </is>
      </c>
      <c r="B27" s="1" t="n">
        <v>43790</v>
      </c>
      <c r="C27" s="1" t="n">
        <v>45877</v>
      </c>
      <c r="D27" t="inlineStr">
        <is>
          <t>VÄRMLANDS LÄN</t>
        </is>
      </c>
      <c r="E27" t="inlineStr">
        <is>
          <t>STORFORS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64491-2019</t>
        </is>
      </c>
      <c r="B28" s="1" t="n">
        <v>43798</v>
      </c>
      <c r="C28" s="1" t="n">
        <v>45877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66166-2019</t>
        </is>
      </c>
      <c r="B29" s="1" t="n">
        <v>43808</v>
      </c>
      <c r="C29" s="1" t="n">
        <v>45877</v>
      </c>
      <c r="D29" t="inlineStr">
        <is>
          <t>VÄRMLANDS LÄN</t>
        </is>
      </c>
      <c r="E29" t="inlineStr">
        <is>
          <t>STORFORS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342-2020</t>
        </is>
      </c>
      <c r="B30" s="1" t="n">
        <v>43818</v>
      </c>
      <c r="C30" s="1" t="n">
        <v>45877</v>
      </c>
      <c r="D30" t="inlineStr">
        <is>
          <t>VÄRMLANDS LÄN</t>
        </is>
      </c>
      <c r="E30" t="inlineStr">
        <is>
          <t>STORFORS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266-2020</t>
        </is>
      </c>
      <c r="B31" s="1" t="n">
        <v>43837</v>
      </c>
      <c r="C31" s="1" t="n">
        <v>45877</v>
      </c>
      <c r="D31" t="inlineStr">
        <is>
          <t>VÄRMLANDS LÄN</t>
        </is>
      </c>
      <c r="E31" t="inlineStr">
        <is>
          <t>STORFORS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1801-2020</t>
        </is>
      </c>
      <c r="B32" s="1" t="n">
        <v>43844</v>
      </c>
      <c r="C32" s="1" t="n">
        <v>45877</v>
      </c>
      <c r="D32" t="inlineStr">
        <is>
          <t>VÄRMLANDS LÄN</t>
        </is>
      </c>
      <c r="E32" t="inlineStr">
        <is>
          <t>STORFORS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3564-2020</t>
        </is>
      </c>
      <c r="B33" s="1" t="n">
        <v>43845</v>
      </c>
      <c r="C33" s="1" t="n">
        <v>45877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33.5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2868-2020</t>
        </is>
      </c>
      <c r="B34" s="1" t="n">
        <v>43850</v>
      </c>
      <c r="C34" s="1" t="n">
        <v>45877</v>
      </c>
      <c r="D34" t="inlineStr">
        <is>
          <t>VÄRMLANDS LÄN</t>
        </is>
      </c>
      <c r="E34" t="inlineStr">
        <is>
          <t>STORFORS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2902-2020</t>
        </is>
      </c>
      <c r="B35" s="1" t="n">
        <v>43850</v>
      </c>
      <c r="C35" s="1" t="n">
        <v>45877</v>
      </c>
      <c r="D35" t="inlineStr">
        <is>
          <t>VÄRMLANDS LÄN</t>
        </is>
      </c>
      <c r="E35" t="inlineStr">
        <is>
          <t>STORFORS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2906-2020</t>
        </is>
      </c>
      <c r="B36" s="1" t="n">
        <v>43850</v>
      </c>
      <c r="C36" s="1" t="n">
        <v>45877</v>
      </c>
      <c r="D36" t="inlineStr">
        <is>
          <t>VÄRMLANDS LÄN</t>
        </is>
      </c>
      <c r="E36" t="inlineStr">
        <is>
          <t>STORFORS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8761-2020</t>
        </is>
      </c>
      <c r="B37" s="1" t="n">
        <v>43878</v>
      </c>
      <c r="C37" s="1" t="n">
        <v>45877</v>
      </c>
      <c r="D37" t="inlineStr">
        <is>
          <t>VÄRMLANDS LÄN</t>
        </is>
      </c>
      <c r="E37" t="inlineStr">
        <is>
          <t>STORFORS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10139-2020</t>
        </is>
      </c>
      <c r="B38" s="1" t="n">
        <v>43886</v>
      </c>
      <c r="C38" s="1" t="n">
        <v>45877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12009-2020</t>
        </is>
      </c>
      <c r="B39" s="1" t="n">
        <v>43894</v>
      </c>
      <c r="C39" s="1" t="n">
        <v>45877</v>
      </c>
      <c r="D39" t="inlineStr">
        <is>
          <t>VÄRMLANDS LÄN</t>
        </is>
      </c>
      <c r="E39" t="inlineStr">
        <is>
          <t>STORFORS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12796-2020</t>
        </is>
      </c>
      <c r="B40" s="1" t="n">
        <v>43899</v>
      </c>
      <c r="C40" s="1" t="n">
        <v>45877</v>
      </c>
      <c r="D40" t="inlineStr">
        <is>
          <t>VÄRMLANDS LÄN</t>
        </is>
      </c>
      <c r="E40" t="inlineStr">
        <is>
          <t>STORFORS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15278-2020</t>
        </is>
      </c>
      <c r="B41" s="1" t="n">
        <v>43913</v>
      </c>
      <c r="C41" s="1" t="n">
        <v>45877</v>
      </c>
      <c r="D41" t="inlineStr">
        <is>
          <t>VÄRMLANDS LÄN</t>
        </is>
      </c>
      <c r="E41" t="inlineStr">
        <is>
          <t>STORFORS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16244-2020</t>
        </is>
      </c>
      <c r="B42" s="1" t="n">
        <v>43917</v>
      </c>
      <c r="C42" s="1" t="n">
        <v>45877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16930-2020</t>
        </is>
      </c>
      <c r="B43" s="1" t="n">
        <v>43921</v>
      </c>
      <c r="C43" s="1" t="n">
        <v>45877</v>
      </c>
      <c r="D43" t="inlineStr">
        <is>
          <t>VÄRMLANDS LÄN</t>
        </is>
      </c>
      <c r="E43" t="inlineStr">
        <is>
          <t>STORFORS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16895-2020</t>
        </is>
      </c>
      <c r="B44" s="1" t="n">
        <v>43921</v>
      </c>
      <c r="C44" s="1" t="n">
        <v>45877</v>
      </c>
      <c r="D44" t="inlineStr">
        <is>
          <t>VÄRMLANDS LÄN</t>
        </is>
      </c>
      <c r="E44" t="inlineStr">
        <is>
          <t>STORFORS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20872-2020</t>
        </is>
      </c>
      <c r="B45" s="1" t="n">
        <v>43948</v>
      </c>
      <c r="C45" s="1" t="n">
        <v>45877</v>
      </c>
      <c r="D45" t="inlineStr">
        <is>
          <t>VÄRMLANDS LÄN</t>
        </is>
      </c>
      <c r="E45" t="inlineStr">
        <is>
          <t>STORFORS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20870-2020</t>
        </is>
      </c>
      <c r="B46" s="1" t="n">
        <v>43948</v>
      </c>
      <c r="C46" s="1" t="n">
        <v>45877</v>
      </c>
      <c r="D46" t="inlineStr">
        <is>
          <t>VÄRMLANDS LÄN</t>
        </is>
      </c>
      <c r="E46" t="inlineStr">
        <is>
          <t>STORFORS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21540-2020</t>
        </is>
      </c>
      <c r="B47" s="1" t="n">
        <v>43956</v>
      </c>
      <c r="C47" s="1" t="n">
        <v>45877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22527-2020</t>
        </is>
      </c>
      <c r="B48" s="1" t="n">
        <v>43963</v>
      </c>
      <c r="C48" s="1" t="n">
        <v>45877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24396-2020</t>
        </is>
      </c>
      <c r="B49" s="1" t="n">
        <v>43976</v>
      </c>
      <c r="C49" s="1" t="n">
        <v>45877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25976-2020</t>
        </is>
      </c>
      <c r="B50" s="1" t="n">
        <v>43985</v>
      </c>
      <c r="C50" s="1" t="n">
        <v>45877</v>
      </c>
      <c r="D50" t="inlineStr">
        <is>
          <t>VÄRMLANDS LÄN</t>
        </is>
      </c>
      <c r="E50" t="inlineStr">
        <is>
          <t>STORFORS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26864-2020</t>
        </is>
      </c>
      <c r="B51" s="1" t="n">
        <v>43990</v>
      </c>
      <c r="C51" s="1" t="n">
        <v>45877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26892-2020</t>
        </is>
      </c>
      <c r="B52" s="1" t="n">
        <v>43990</v>
      </c>
      <c r="C52" s="1" t="n">
        <v>45877</v>
      </c>
      <c r="D52" t="inlineStr">
        <is>
          <t>VÄRMLANDS LÄN</t>
        </is>
      </c>
      <c r="E52" t="inlineStr">
        <is>
          <t>STORFORS</t>
        </is>
      </c>
      <c r="F52" t="inlineStr">
        <is>
          <t>Naturvårdsverket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29108-2020</t>
        </is>
      </c>
      <c r="B53" s="1" t="n">
        <v>44003</v>
      </c>
      <c r="C53" s="1" t="n">
        <v>45877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29890-2020</t>
        </is>
      </c>
      <c r="B54" s="1" t="n">
        <v>44006</v>
      </c>
      <c r="C54" s="1" t="n">
        <v>45877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34421-2020</t>
        </is>
      </c>
      <c r="B55" s="1" t="n">
        <v>44029</v>
      </c>
      <c r="C55" s="1" t="n">
        <v>45877</v>
      </c>
      <c r="D55" t="inlineStr">
        <is>
          <t>VÄRMLANDS LÄN</t>
        </is>
      </c>
      <c r="E55" t="inlineStr">
        <is>
          <t>STORFORS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34407-2020</t>
        </is>
      </c>
      <c r="B56" s="1" t="n">
        <v>44029</v>
      </c>
      <c r="C56" s="1" t="n">
        <v>45877</v>
      </c>
      <c r="D56" t="inlineStr">
        <is>
          <t>VÄRMLANDS LÄN</t>
        </is>
      </c>
      <c r="E56" t="inlineStr">
        <is>
          <t>STORFORS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35502-2020</t>
        </is>
      </c>
      <c r="B57" s="1" t="n">
        <v>44043</v>
      </c>
      <c r="C57" s="1" t="n">
        <v>45877</v>
      </c>
      <c r="D57" t="inlineStr">
        <is>
          <t>VÄRMLANDS LÄN</t>
        </is>
      </c>
      <c r="E57" t="inlineStr">
        <is>
          <t>STORFORS</t>
        </is>
      </c>
      <c r="F57" t="inlineStr">
        <is>
          <t>Kyrkan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36370-2020</t>
        </is>
      </c>
      <c r="B58" s="1" t="n">
        <v>44049</v>
      </c>
      <c r="C58" s="1" t="n">
        <v>45877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50079-2020</t>
        </is>
      </c>
      <c r="B59" s="1" t="n">
        <v>44109</v>
      </c>
      <c r="C59" s="1" t="n">
        <v>45877</v>
      </c>
      <c r="D59" t="inlineStr">
        <is>
          <t>VÄRMLANDS LÄN</t>
        </is>
      </c>
      <c r="E59" t="inlineStr">
        <is>
          <t>STORFORS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51940-2020</t>
        </is>
      </c>
      <c r="B60" s="1" t="n">
        <v>44109</v>
      </c>
      <c r="C60" s="1" t="n">
        <v>45877</v>
      </c>
      <c r="D60" t="inlineStr">
        <is>
          <t>VÄRMLANDS LÄN</t>
        </is>
      </c>
      <c r="E60" t="inlineStr">
        <is>
          <t>STORFORS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51942-2020</t>
        </is>
      </c>
      <c r="B61" s="1" t="n">
        <v>44109</v>
      </c>
      <c r="C61" s="1" t="n">
        <v>45877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50471-2020</t>
        </is>
      </c>
      <c r="B62" s="1" t="n">
        <v>44110</v>
      </c>
      <c r="C62" s="1" t="n">
        <v>45877</v>
      </c>
      <c r="D62" t="inlineStr">
        <is>
          <t>VÄRMLANDS LÄN</t>
        </is>
      </c>
      <c r="E62" t="inlineStr">
        <is>
          <t>STORFORS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53412-2020</t>
        </is>
      </c>
      <c r="B63" s="1" t="n">
        <v>44123</v>
      </c>
      <c r="C63" s="1" t="n">
        <v>45877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54027-2020</t>
        </is>
      </c>
      <c r="B64" s="1" t="n">
        <v>44123</v>
      </c>
      <c r="C64" s="1" t="n">
        <v>45877</v>
      </c>
      <c r="D64" t="inlineStr">
        <is>
          <t>VÄRMLANDS LÄN</t>
        </is>
      </c>
      <c r="E64" t="inlineStr">
        <is>
          <t>STORFORS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55071-2020</t>
        </is>
      </c>
      <c r="B65" s="1" t="n">
        <v>44130</v>
      </c>
      <c r="C65" s="1" t="n">
        <v>45877</v>
      </c>
      <c r="D65" t="inlineStr">
        <is>
          <t>VÄRMLANDS LÄN</t>
        </is>
      </c>
      <c r="E65" t="inlineStr">
        <is>
          <t>STORFORS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58530-2020</t>
        </is>
      </c>
      <c r="B66" s="1" t="n">
        <v>44145</v>
      </c>
      <c r="C66" s="1" t="n">
        <v>45877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170-2021</t>
        </is>
      </c>
      <c r="B67" s="1" t="n">
        <v>44200</v>
      </c>
      <c r="C67" s="1" t="n">
        <v>45877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176-2021</t>
        </is>
      </c>
      <c r="B68" s="1" t="n">
        <v>44200</v>
      </c>
      <c r="C68" s="1" t="n">
        <v>45877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11981-2021</t>
        </is>
      </c>
      <c r="B69" s="1" t="n">
        <v>44266</v>
      </c>
      <c r="C69" s="1" t="n">
        <v>45877</v>
      </c>
      <c r="D69" t="inlineStr">
        <is>
          <t>VÄRMLANDS LÄN</t>
        </is>
      </c>
      <c r="E69" t="inlineStr">
        <is>
          <t>STORFORS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12023-2021</t>
        </is>
      </c>
      <c r="B70" s="1" t="n">
        <v>44266</v>
      </c>
      <c r="C70" s="1" t="n">
        <v>45877</v>
      </c>
      <c r="D70" t="inlineStr">
        <is>
          <t>VÄRMLANDS LÄN</t>
        </is>
      </c>
      <c r="E70" t="inlineStr">
        <is>
          <t>STORFORS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13047-2021</t>
        </is>
      </c>
      <c r="B71" s="1" t="n">
        <v>44272</v>
      </c>
      <c r="C71" s="1" t="n">
        <v>45877</v>
      </c>
      <c r="D71" t="inlineStr">
        <is>
          <t>VÄRMLANDS LÄN</t>
        </is>
      </c>
      <c r="E71" t="inlineStr">
        <is>
          <t>STORFORS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13601-2021</t>
        </is>
      </c>
      <c r="B72" s="1" t="n">
        <v>44274</v>
      </c>
      <c r="C72" s="1" t="n">
        <v>45877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14356-2021</t>
        </is>
      </c>
      <c r="B73" s="1" t="n">
        <v>44279</v>
      </c>
      <c r="C73" s="1" t="n">
        <v>45877</v>
      </c>
      <c r="D73" t="inlineStr">
        <is>
          <t>VÄRMLANDS LÄN</t>
        </is>
      </c>
      <c r="E73" t="inlineStr">
        <is>
          <t>STORFORS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17625-2021</t>
        </is>
      </c>
      <c r="B74" s="1" t="n">
        <v>44299</v>
      </c>
      <c r="C74" s="1" t="n">
        <v>45877</v>
      </c>
      <c r="D74" t="inlineStr">
        <is>
          <t>VÄRMLANDS LÄN</t>
        </is>
      </c>
      <c r="E74" t="inlineStr">
        <is>
          <t>STORFORS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19464-2021</t>
        </is>
      </c>
      <c r="B75" s="1" t="n">
        <v>44311</v>
      </c>
      <c r="C75" s="1" t="n">
        <v>45877</v>
      </c>
      <c r="D75" t="inlineStr">
        <is>
          <t>VÄRMLANDS LÄN</t>
        </is>
      </c>
      <c r="E75" t="inlineStr">
        <is>
          <t>STORFORS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21590-2021</t>
        </is>
      </c>
      <c r="B76" s="1" t="n">
        <v>44321</v>
      </c>
      <c r="C76" s="1" t="n">
        <v>45877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22435-2021</t>
        </is>
      </c>
      <c r="B77" s="1" t="n">
        <v>44322</v>
      </c>
      <c r="C77" s="1" t="n">
        <v>45877</v>
      </c>
      <c r="D77" t="inlineStr">
        <is>
          <t>VÄRMLANDS LÄN</t>
        </is>
      </c>
      <c r="E77" t="inlineStr">
        <is>
          <t>STORFORS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22063-2021</t>
        </is>
      </c>
      <c r="B78" s="1" t="n">
        <v>44323</v>
      </c>
      <c r="C78" s="1" t="n">
        <v>45877</v>
      </c>
      <c r="D78" t="inlineStr">
        <is>
          <t>VÄRMLANDS LÄN</t>
        </is>
      </c>
      <c r="E78" t="inlineStr">
        <is>
          <t>STORFORS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23275-2021</t>
        </is>
      </c>
      <c r="B79" s="1" t="n">
        <v>44333</v>
      </c>
      <c r="C79" s="1" t="n">
        <v>45877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23813-2021</t>
        </is>
      </c>
      <c r="B80" s="1" t="n">
        <v>44335</v>
      </c>
      <c r="C80" s="1" t="n">
        <v>45877</v>
      </c>
      <c r="D80" t="inlineStr">
        <is>
          <t>VÄRMLANDS LÄN</t>
        </is>
      </c>
      <c r="E80" t="inlineStr">
        <is>
          <t>STORFORS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23820-2021</t>
        </is>
      </c>
      <c r="B81" s="1" t="n">
        <v>44335</v>
      </c>
      <c r="C81" s="1" t="n">
        <v>45877</v>
      </c>
      <c r="D81" t="inlineStr">
        <is>
          <t>VÄRMLANDS LÄN</t>
        </is>
      </c>
      <c r="E81" t="inlineStr">
        <is>
          <t>STORFORS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23808-2021</t>
        </is>
      </c>
      <c r="B82" s="1" t="n">
        <v>44335</v>
      </c>
      <c r="C82" s="1" t="n">
        <v>45877</v>
      </c>
      <c r="D82" t="inlineStr">
        <is>
          <t>VÄRMLANDS LÄN</t>
        </is>
      </c>
      <c r="E82" t="inlineStr">
        <is>
          <t>STORFORS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23817-2021</t>
        </is>
      </c>
      <c r="B83" s="1" t="n">
        <v>44335</v>
      </c>
      <c r="C83" s="1" t="n">
        <v>45877</v>
      </c>
      <c r="D83" t="inlineStr">
        <is>
          <t>VÄRMLANDS LÄN</t>
        </is>
      </c>
      <c r="E83" t="inlineStr">
        <is>
          <t>STORFORS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33461-2021</t>
        </is>
      </c>
      <c r="B84" s="1" t="n">
        <v>44377</v>
      </c>
      <c r="C84" s="1" t="n">
        <v>45877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34634-2021</t>
        </is>
      </c>
      <c r="B85" s="1" t="n">
        <v>44382</v>
      </c>
      <c r="C85" s="1" t="n">
        <v>45877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34635-2021</t>
        </is>
      </c>
      <c r="B86" s="1" t="n">
        <v>44382</v>
      </c>
      <c r="C86" s="1" t="n">
        <v>45877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34913-2021</t>
        </is>
      </c>
      <c r="B87" s="1" t="n">
        <v>44383</v>
      </c>
      <c r="C87" s="1" t="n">
        <v>45877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38227-2021</t>
        </is>
      </c>
      <c r="B88" s="1" t="n">
        <v>44405</v>
      </c>
      <c r="C88" s="1" t="n">
        <v>45877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41530-2021</t>
        </is>
      </c>
      <c r="B89" s="1" t="n">
        <v>44425</v>
      </c>
      <c r="C89" s="1" t="n">
        <v>45877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41853-2021</t>
        </is>
      </c>
      <c r="B90" s="1" t="n">
        <v>44426</v>
      </c>
      <c r="C90" s="1" t="n">
        <v>45877</v>
      </c>
      <c r="D90" t="inlineStr">
        <is>
          <t>VÄRMLANDS LÄN</t>
        </is>
      </c>
      <c r="E90" t="inlineStr">
        <is>
          <t>STORFORS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41867-2021</t>
        </is>
      </c>
      <c r="B91" s="1" t="n">
        <v>44426</v>
      </c>
      <c r="C91" s="1" t="n">
        <v>45877</v>
      </c>
      <c r="D91" t="inlineStr">
        <is>
          <t>VÄRMLANDS LÄN</t>
        </is>
      </c>
      <c r="E91" t="inlineStr">
        <is>
          <t>STORFORS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48309-2021</t>
        </is>
      </c>
      <c r="B92" s="1" t="n">
        <v>44450</v>
      </c>
      <c r="C92" s="1" t="n">
        <v>45877</v>
      </c>
      <c r="D92" t="inlineStr">
        <is>
          <t>VÄRMLANDS LÄN</t>
        </is>
      </c>
      <c r="E92" t="inlineStr">
        <is>
          <t>STORFORS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48967-2021</t>
        </is>
      </c>
      <c r="B93" s="1" t="n">
        <v>44453</v>
      </c>
      <c r="C93" s="1" t="n">
        <v>45877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18.8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50254-2021</t>
        </is>
      </c>
      <c r="B94" s="1" t="n">
        <v>44458</v>
      </c>
      <c r="C94" s="1" t="n">
        <v>45877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53398-2021</t>
        </is>
      </c>
      <c r="B95" s="1" t="n">
        <v>44468</v>
      </c>
      <c r="C95" s="1" t="n">
        <v>45877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57734-2021</t>
        </is>
      </c>
      <c r="B96" s="1" t="n">
        <v>44484</v>
      </c>
      <c r="C96" s="1" t="n">
        <v>45877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59084-2021</t>
        </is>
      </c>
      <c r="B97" s="1" t="n">
        <v>44490</v>
      </c>
      <c r="C97" s="1" t="n">
        <v>45877</v>
      </c>
      <c r="D97" t="inlineStr">
        <is>
          <t>VÄRMLANDS LÄN</t>
        </is>
      </c>
      <c r="E97" t="inlineStr">
        <is>
          <t>STORFORS</t>
        </is>
      </c>
      <c r="F97" t="inlineStr">
        <is>
          <t>Naturvårdsverket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64815-2021</t>
        </is>
      </c>
      <c r="B98" s="1" t="n">
        <v>44512</v>
      </c>
      <c r="C98" s="1" t="n">
        <v>45877</v>
      </c>
      <c r="D98" t="inlineStr">
        <is>
          <t>VÄRMLANDS LÄN</t>
        </is>
      </c>
      <c r="E98" t="inlineStr">
        <is>
          <t>STORFORS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64673-2021</t>
        </is>
      </c>
      <c r="B99" s="1" t="n">
        <v>44512</v>
      </c>
      <c r="C99" s="1" t="n">
        <v>45877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64814-2021</t>
        </is>
      </c>
      <c r="B100" s="1" t="n">
        <v>44512</v>
      </c>
      <c r="C100" s="1" t="n">
        <v>45877</v>
      </c>
      <c r="D100" t="inlineStr">
        <is>
          <t>VÄRMLANDS LÄN</t>
        </is>
      </c>
      <c r="E100" t="inlineStr">
        <is>
          <t>STORFORS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70761-2021</t>
        </is>
      </c>
      <c r="B101" s="1" t="n">
        <v>44536</v>
      </c>
      <c r="C101" s="1" t="n">
        <v>45877</v>
      </c>
      <c r="D101" t="inlineStr">
        <is>
          <t>VÄRMLANDS LÄN</t>
        </is>
      </c>
      <c r="E101" t="inlineStr">
        <is>
          <t>STORFORS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6227-2022</t>
        </is>
      </c>
      <c r="B102" s="1" t="n">
        <v>44600</v>
      </c>
      <c r="C102" s="1" t="n">
        <v>45877</v>
      </c>
      <c r="D102" t="inlineStr">
        <is>
          <t>VÄRMLANDS LÄN</t>
        </is>
      </c>
      <c r="E102" t="inlineStr">
        <is>
          <t>STORFORS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6330-2022</t>
        </is>
      </c>
      <c r="B103" s="1" t="n">
        <v>44600</v>
      </c>
      <c r="C103" s="1" t="n">
        <v>45877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6812-2022</t>
        </is>
      </c>
      <c r="B104" s="1" t="n">
        <v>44602</v>
      </c>
      <c r="C104" s="1" t="n">
        <v>45877</v>
      </c>
      <c r="D104" t="inlineStr">
        <is>
          <t>VÄRMLANDS LÄN</t>
        </is>
      </c>
      <c r="E104" t="inlineStr">
        <is>
          <t>STORFORS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9318-2022</t>
        </is>
      </c>
      <c r="B105" s="1" t="n">
        <v>44616</v>
      </c>
      <c r="C105" s="1" t="n">
        <v>45877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15152-2022</t>
        </is>
      </c>
      <c r="B106" s="1" t="n">
        <v>44658</v>
      </c>
      <c r="C106" s="1" t="n">
        <v>45877</v>
      </c>
      <c r="D106" t="inlineStr">
        <is>
          <t>VÄRMLANDS LÄN</t>
        </is>
      </c>
      <c r="E106" t="inlineStr">
        <is>
          <t>STORFORS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19324-2022</t>
        </is>
      </c>
      <c r="B107" s="1" t="n">
        <v>44692</v>
      </c>
      <c r="C107" s="1" t="n">
        <v>45877</v>
      </c>
      <c r="D107" t="inlineStr">
        <is>
          <t>VÄRMLANDS LÄN</t>
        </is>
      </c>
      <c r="E107" t="inlineStr">
        <is>
          <t>STORFORS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24846-2022</t>
        </is>
      </c>
      <c r="B108" s="1" t="n">
        <v>44728</v>
      </c>
      <c r="C108" s="1" t="n">
        <v>45877</v>
      </c>
      <c r="D108" t="inlineStr">
        <is>
          <t>VÄRMLANDS LÄN</t>
        </is>
      </c>
      <c r="E108" t="inlineStr">
        <is>
          <t>STORFORS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25824-2022</t>
        </is>
      </c>
      <c r="B109" s="1" t="n">
        <v>44733</v>
      </c>
      <c r="C109" s="1" t="n">
        <v>45877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28467-2022</t>
        </is>
      </c>
      <c r="B110" s="1" t="n">
        <v>44747</v>
      </c>
      <c r="C110" s="1" t="n">
        <v>45877</v>
      </c>
      <c r="D110" t="inlineStr">
        <is>
          <t>VÄRMLANDS LÄN</t>
        </is>
      </c>
      <c r="E110" t="inlineStr">
        <is>
          <t>STORFORS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28466-2022</t>
        </is>
      </c>
      <c r="B111" s="1" t="n">
        <v>44747</v>
      </c>
      <c r="C111" s="1" t="n">
        <v>45877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33307-2022</t>
        </is>
      </c>
      <c r="B112" s="1" t="n">
        <v>44788</v>
      </c>
      <c r="C112" s="1" t="n">
        <v>45877</v>
      </c>
      <c r="D112" t="inlineStr">
        <is>
          <t>VÄRMLANDS LÄN</t>
        </is>
      </c>
      <c r="E112" t="inlineStr">
        <is>
          <t>STORFORS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35092-2022</t>
        </is>
      </c>
      <c r="B113" s="1" t="n">
        <v>44797</v>
      </c>
      <c r="C113" s="1" t="n">
        <v>45877</v>
      </c>
      <c r="D113" t="inlineStr">
        <is>
          <t>VÄRMLANDS LÄN</t>
        </is>
      </c>
      <c r="E113" t="inlineStr">
        <is>
          <t>STORFORS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35084-2022</t>
        </is>
      </c>
      <c r="B114" s="1" t="n">
        <v>44797</v>
      </c>
      <c r="C114" s="1" t="n">
        <v>45877</v>
      </c>
      <c r="D114" t="inlineStr">
        <is>
          <t>VÄRMLANDS LÄN</t>
        </is>
      </c>
      <c r="E114" t="inlineStr">
        <is>
          <t>STORFORS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35089-2022</t>
        </is>
      </c>
      <c r="B115" s="1" t="n">
        <v>44797</v>
      </c>
      <c r="C115" s="1" t="n">
        <v>45877</v>
      </c>
      <c r="D115" t="inlineStr">
        <is>
          <t>VÄRMLANDS LÄN</t>
        </is>
      </c>
      <c r="E115" t="inlineStr">
        <is>
          <t>STORFORS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37337-2022</t>
        </is>
      </c>
      <c r="B116" s="1" t="n">
        <v>44809</v>
      </c>
      <c r="C116" s="1" t="n">
        <v>45877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43224-2022</t>
        </is>
      </c>
      <c r="B117" s="1" t="n">
        <v>44834</v>
      </c>
      <c r="C117" s="1" t="n">
        <v>45877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43407-2022</t>
        </is>
      </c>
      <c r="B118" s="1" t="n">
        <v>44834</v>
      </c>
      <c r="C118" s="1" t="n">
        <v>45877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43338-2022</t>
        </is>
      </c>
      <c r="B119" s="1" t="n">
        <v>44834</v>
      </c>
      <c r="C119" s="1" t="n">
        <v>45877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44979-2022</t>
        </is>
      </c>
      <c r="B120" s="1" t="n">
        <v>44840</v>
      </c>
      <c r="C120" s="1" t="n">
        <v>45877</v>
      </c>
      <c r="D120" t="inlineStr">
        <is>
          <t>VÄRMLANDS LÄN</t>
        </is>
      </c>
      <c r="E120" t="inlineStr">
        <is>
          <t>STORFORS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44802-2022</t>
        </is>
      </c>
      <c r="B121" s="1" t="n">
        <v>44841</v>
      </c>
      <c r="C121" s="1" t="n">
        <v>45877</v>
      </c>
      <c r="D121" t="inlineStr">
        <is>
          <t>VÄRMLANDS LÄN</t>
        </is>
      </c>
      <c r="E121" t="inlineStr">
        <is>
          <t>STORFORS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44783-2022</t>
        </is>
      </c>
      <c r="B122" s="1" t="n">
        <v>44841</v>
      </c>
      <c r="C122" s="1" t="n">
        <v>45877</v>
      </c>
      <c r="D122" t="inlineStr">
        <is>
          <t>VÄRMLANDS LÄN</t>
        </is>
      </c>
      <c r="E122" t="inlineStr">
        <is>
          <t>STORFORS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44795-2022</t>
        </is>
      </c>
      <c r="B123" s="1" t="n">
        <v>44841</v>
      </c>
      <c r="C123" s="1" t="n">
        <v>45877</v>
      </c>
      <c r="D123" t="inlineStr">
        <is>
          <t>VÄRMLANDS LÄN</t>
        </is>
      </c>
      <c r="E123" t="inlineStr">
        <is>
          <t>STORFORS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47408-2022</t>
        </is>
      </c>
      <c r="B124" s="1" t="n">
        <v>44851</v>
      </c>
      <c r="C124" s="1" t="n">
        <v>45877</v>
      </c>
      <c r="D124" t="inlineStr">
        <is>
          <t>VÄRMLANDS LÄN</t>
        </is>
      </c>
      <c r="E124" t="inlineStr">
        <is>
          <t>STORFORS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51171-2022</t>
        </is>
      </c>
      <c r="B125" s="1" t="n">
        <v>44868</v>
      </c>
      <c r="C125" s="1" t="n">
        <v>45877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54111-2022</t>
        </is>
      </c>
      <c r="B126" s="1" t="n">
        <v>44881</v>
      </c>
      <c r="C126" s="1" t="n">
        <v>45877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56520-2022</t>
        </is>
      </c>
      <c r="B127" s="1" t="n">
        <v>44893</v>
      </c>
      <c r="C127" s="1" t="n">
        <v>45877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57209-2022</t>
        </is>
      </c>
      <c r="B128" s="1" t="n">
        <v>44895</v>
      </c>
      <c r="C128" s="1" t="n">
        <v>45877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57492-2022</t>
        </is>
      </c>
      <c r="B129" s="1" t="n">
        <v>44896</v>
      </c>
      <c r="C129" s="1" t="n">
        <v>45877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57792-2022</t>
        </is>
      </c>
      <c r="B130" s="1" t="n">
        <v>44897</v>
      </c>
      <c r="C130" s="1" t="n">
        <v>45877</v>
      </c>
      <c r="D130" t="inlineStr">
        <is>
          <t>VÄRMLANDS LÄN</t>
        </is>
      </c>
      <c r="E130" t="inlineStr">
        <is>
          <t>STORFORS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58008-2022</t>
        </is>
      </c>
      <c r="B131" s="1" t="n">
        <v>44900</v>
      </c>
      <c r="C131" s="1" t="n">
        <v>45877</v>
      </c>
      <c r="D131" t="inlineStr">
        <is>
          <t>VÄRMLANDS LÄN</t>
        </is>
      </c>
      <c r="E131" t="inlineStr">
        <is>
          <t>STORFORS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58089-2022</t>
        </is>
      </c>
      <c r="B132" s="1" t="n">
        <v>44900</v>
      </c>
      <c r="C132" s="1" t="n">
        <v>45877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58125-2022</t>
        </is>
      </c>
      <c r="B133" s="1" t="n">
        <v>44900</v>
      </c>
      <c r="C133" s="1" t="n">
        <v>45877</v>
      </c>
      <c r="D133" t="inlineStr">
        <is>
          <t>VÄRMLANDS LÄN</t>
        </is>
      </c>
      <c r="E133" t="inlineStr">
        <is>
          <t>STORFORS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57981-2022</t>
        </is>
      </c>
      <c r="B134" s="1" t="n">
        <v>44900</v>
      </c>
      <c r="C134" s="1" t="n">
        <v>45877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58026-2022</t>
        </is>
      </c>
      <c r="B135" s="1" t="n">
        <v>44900</v>
      </c>
      <c r="C135" s="1" t="n">
        <v>45877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59445-2022</t>
        </is>
      </c>
      <c r="B136" s="1" t="n">
        <v>44907</v>
      </c>
      <c r="C136" s="1" t="n">
        <v>45877</v>
      </c>
      <c r="D136" t="inlineStr">
        <is>
          <t>VÄRMLANDS LÄN</t>
        </is>
      </c>
      <c r="E136" t="inlineStr">
        <is>
          <t>STORFORS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59449-2022</t>
        </is>
      </c>
      <c r="B137" s="1" t="n">
        <v>44907</v>
      </c>
      <c r="C137" s="1" t="n">
        <v>45877</v>
      </c>
      <c r="D137" t="inlineStr">
        <is>
          <t>VÄRMLANDS LÄN</t>
        </is>
      </c>
      <c r="E137" t="inlineStr">
        <is>
          <t>STORFORS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61845-2022</t>
        </is>
      </c>
      <c r="B138" s="1" t="n">
        <v>44917</v>
      </c>
      <c r="C138" s="1" t="n">
        <v>45877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487-2023</t>
        </is>
      </c>
      <c r="B139" s="1" t="n">
        <v>44930</v>
      </c>
      <c r="C139" s="1" t="n">
        <v>45877</v>
      </c>
      <c r="D139" t="inlineStr">
        <is>
          <t>VÄRMLANDS LÄN</t>
        </is>
      </c>
      <c r="E139" t="inlineStr">
        <is>
          <t>STORFORS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1314-2023</t>
        </is>
      </c>
      <c r="B140" s="1" t="n">
        <v>44936</v>
      </c>
      <c r="C140" s="1" t="n">
        <v>45877</v>
      </c>
      <c r="D140" t="inlineStr">
        <is>
          <t>VÄRMLANDS LÄN</t>
        </is>
      </c>
      <c r="E140" t="inlineStr">
        <is>
          <t>STORFORS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1840-2023</t>
        </is>
      </c>
      <c r="B141" s="1" t="n">
        <v>44938</v>
      </c>
      <c r="C141" s="1" t="n">
        <v>45877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1825-2023</t>
        </is>
      </c>
      <c r="B142" s="1" t="n">
        <v>44938</v>
      </c>
      <c r="C142" s="1" t="n">
        <v>45877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2342-2023</t>
        </is>
      </c>
      <c r="B143" s="1" t="n">
        <v>44938</v>
      </c>
      <c r="C143" s="1" t="n">
        <v>45877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2352-2023</t>
        </is>
      </c>
      <c r="B144" s="1" t="n">
        <v>44938</v>
      </c>
      <c r="C144" s="1" t="n">
        <v>45877</v>
      </c>
      <c r="D144" t="inlineStr">
        <is>
          <t>VÄRMLANDS LÄN</t>
        </is>
      </c>
      <c r="E144" t="inlineStr">
        <is>
          <t>STORFORS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2363-2023</t>
        </is>
      </c>
      <c r="B145" s="1" t="n">
        <v>44938</v>
      </c>
      <c r="C145" s="1" t="n">
        <v>45877</v>
      </c>
      <c r="D145" t="inlineStr">
        <is>
          <t>VÄRMLANDS LÄN</t>
        </is>
      </c>
      <c r="E145" t="inlineStr">
        <is>
          <t>STORFORS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2037-2023</t>
        </is>
      </c>
      <c r="B146" s="1" t="n">
        <v>44939</v>
      </c>
      <c r="C146" s="1" t="n">
        <v>45877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2589-2023</t>
        </is>
      </c>
      <c r="B147" s="1" t="n">
        <v>44943</v>
      </c>
      <c r="C147" s="1" t="n">
        <v>45877</v>
      </c>
      <c r="D147" t="inlineStr">
        <is>
          <t>VÄRMLANDS LÄN</t>
        </is>
      </c>
      <c r="E147" t="inlineStr">
        <is>
          <t>STORFORS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4576-2023</t>
        </is>
      </c>
      <c r="B148" s="1" t="n">
        <v>44956</v>
      </c>
      <c r="C148" s="1" t="n">
        <v>45877</v>
      </c>
      <c r="D148" t="inlineStr">
        <is>
          <t>VÄRMLANDS LÄN</t>
        </is>
      </c>
      <c r="E148" t="inlineStr">
        <is>
          <t>STORFORS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7072-2023</t>
        </is>
      </c>
      <c r="B149" s="1" t="n">
        <v>44969</v>
      </c>
      <c r="C149" s="1" t="n">
        <v>45877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8358-2023</t>
        </is>
      </c>
      <c r="B150" s="1" t="n">
        <v>44977</v>
      </c>
      <c r="C150" s="1" t="n">
        <v>45877</v>
      </c>
      <c r="D150" t="inlineStr">
        <is>
          <t>VÄRMLANDS LÄN</t>
        </is>
      </c>
      <c r="E150" t="inlineStr">
        <is>
          <t>STORFORS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8448-2023</t>
        </is>
      </c>
      <c r="B151" s="1" t="n">
        <v>44977</v>
      </c>
      <c r="C151" s="1" t="n">
        <v>45877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10975-2023</t>
        </is>
      </c>
      <c r="B152" s="1" t="n">
        <v>44991</v>
      </c>
      <c r="C152" s="1" t="n">
        <v>45877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11851-2023</t>
        </is>
      </c>
      <c r="B153" s="1" t="n">
        <v>44995</v>
      </c>
      <c r="C153" s="1" t="n">
        <v>45877</v>
      </c>
      <c r="D153" t="inlineStr">
        <is>
          <t>VÄRMLANDS LÄN</t>
        </is>
      </c>
      <c r="E153" t="inlineStr">
        <is>
          <t>STORFORS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12465-2023</t>
        </is>
      </c>
      <c r="B154" s="1" t="n">
        <v>44999</v>
      </c>
      <c r="C154" s="1" t="n">
        <v>45877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12455-2023</t>
        </is>
      </c>
      <c r="B155" s="1" t="n">
        <v>44999</v>
      </c>
      <c r="C155" s="1" t="n">
        <v>45877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13274-2023</t>
        </is>
      </c>
      <c r="B156" s="1" t="n">
        <v>45003</v>
      </c>
      <c r="C156" s="1" t="n">
        <v>45877</v>
      </c>
      <c r="D156" t="inlineStr">
        <is>
          <t>VÄRMLANDS LÄN</t>
        </is>
      </c>
      <c r="E156" t="inlineStr">
        <is>
          <t>STORFORS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13795-2023</t>
        </is>
      </c>
      <c r="B157" s="1" t="n">
        <v>45007</v>
      </c>
      <c r="C157" s="1" t="n">
        <v>45877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13874-2023</t>
        </is>
      </c>
      <c r="B158" s="1" t="n">
        <v>45007</v>
      </c>
      <c r="C158" s="1" t="n">
        <v>45877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15791-2023</t>
        </is>
      </c>
      <c r="B159" s="1" t="n">
        <v>45021</v>
      </c>
      <c r="C159" s="1" t="n">
        <v>45877</v>
      </c>
      <c r="D159" t="inlineStr">
        <is>
          <t>VÄRMLANDS LÄN</t>
        </is>
      </c>
      <c r="E159" t="inlineStr">
        <is>
          <t>STORFORS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17357-2023</t>
        </is>
      </c>
      <c r="B160" s="1" t="n">
        <v>45035</v>
      </c>
      <c r="C160" s="1" t="n">
        <v>45877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17756-2023</t>
        </is>
      </c>
      <c r="B161" s="1" t="n">
        <v>45037</v>
      </c>
      <c r="C161" s="1" t="n">
        <v>45877</v>
      </c>
      <c r="D161" t="inlineStr">
        <is>
          <t>VÄRMLANDS LÄN</t>
        </is>
      </c>
      <c r="E161" t="inlineStr">
        <is>
          <t>STORFORS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20250-2023</t>
        </is>
      </c>
      <c r="B162" s="1" t="n">
        <v>45055</v>
      </c>
      <c r="C162" s="1" t="n">
        <v>45877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20725-2023</t>
        </is>
      </c>
      <c r="B163" s="1" t="n">
        <v>45058</v>
      </c>
      <c r="C163" s="1" t="n">
        <v>45877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20913-2023</t>
        </is>
      </c>
      <c r="B164" s="1" t="n">
        <v>45061</v>
      </c>
      <c r="C164" s="1" t="n">
        <v>45877</v>
      </c>
      <c r="D164" t="inlineStr">
        <is>
          <t>VÄRMLANDS LÄN</t>
        </is>
      </c>
      <c r="E164" t="inlineStr">
        <is>
          <t>STORFORS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20917-2023</t>
        </is>
      </c>
      <c r="B165" s="1" t="n">
        <v>45061</v>
      </c>
      <c r="C165" s="1" t="n">
        <v>45877</v>
      </c>
      <c r="D165" t="inlineStr">
        <is>
          <t>VÄRMLANDS LÄN</t>
        </is>
      </c>
      <c r="E165" t="inlineStr">
        <is>
          <t>STORFORS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21197-2023</t>
        </is>
      </c>
      <c r="B166" s="1" t="n">
        <v>45062</v>
      </c>
      <c r="C166" s="1" t="n">
        <v>45877</v>
      </c>
      <c r="D166" t="inlineStr">
        <is>
          <t>VÄRMLANDS LÄN</t>
        </is>
      </c>
      <c r="E166" t="inlineStr">
        <is>
          <t>STORFORS</t>
        </is>
      </c>
      <c r="F166" t="inlineStr">
        <is>
          <t>Naturvårdsverket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21633-2023</t>
        </is>
      </c>
      <c r="B167" s="1" t="n">
        <v>45063</v>
      </c>
      <c r="C167" s="1" t="n">
        <v>45877</v>
      </c>
      <c r="D167" t="inlineStr">
        <is>
          <t>VÄRMLANDS LÄN</t>
        </is>
      </c>
      <c r="E167" t="inlineStr">
        <is>
          <t>STORFORS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21871-2023</t>
        </is>
      </c>
      <c r="B168" s="1" t="n">
        <v>45068</v>
      </c>
      <c r="C168" s="1" t="n">
        <v>45877</v>
      </c>
      <c r="D168" t="inlineStr">
        <is>
          <t>VÄRMLANDS LÄN</t>
        </is>
      </c>
      <c r="E168" t="inlineStr">
        <is>
          <t>STORFORS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21929-2023</t>
        </is>
      </c>
      <c r="B169" s="1" t="n">
        <v>45068</v>
      </c>
      <c r="C169" s="1" t="n">
        <v>45877</v>
      </c>
      <c r="D169" t="inlineStr">
        <is>
          <t>VÄRMLANDS LÄN</t>
        </is>
      </c>
      <c r="E169" t="inlineStr">
        <is>
          <t>STORFORS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22819-2023</t>
        </is>
      </c>
      <c r="B170" s="1" t="n">
        <v>45072</v>
      </c>
      <c r="C170" s="1" t="n">
        <v>45877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22935-2023</t>
        </is>
      </c>
      <c r="B171" s="1" t="n">
        <v>45072</v>
      </c>
      <c r="C171" s="1" t="n">
        <v>45877</v>
      </c>
      <c r="D171" t="inlineStr">
        <is>
          <t>VÄRMLANDS LÄN</t>
        </is>
      </c>
      <c r="E171" t="inlineStr">
        <is>
          <t>STORFORS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23143-2023</t>
        </is>
      </c>
      <c r="B172" s="1" t="n">
        <v>45075</v>
      </c>
      <c r="C172" s="1" t="n">
        <v>45877</v>
      </c>
      <c r="D172" t="inlineStr">
        <is>
          <t>VÄRMLANDS LÄN</t>
        </is>
      </c>
      <c r="E172" t="inlineStr">
        <is>
          <t>STORFORS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23554-2023</t>
        </is>
      </c>
      <c r="B173" s="1" t="n">
        <v>45077</v>
      </c>
      <c r="C173" s="1" t="n">
        <v>45877</v>
      </c>
      <c r="D173" t="inlineStr">
        <is>
          <t>VÄRMLANDS LÄN</t>
        </is>
      </c>
      <c r="E173" t="inlineStr">
        <is>
          <t>STORFORS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25384-2023</t>
        </is>
      </c>
      <c r="B174" s="1" t="n">
        <v>45089</v>
      </c>
      <c r="C174" s="1" t="n">
        <v>45877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25522-2023</t>
        </is>
      </c>
      <c r="B175" s="1" t="n">
        <v>45089</v>
      </c>
      <c r="C175" s="1" t="n">
        <v>45877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25498-2023</t>
        </is>
      </c>
      <c r="B176" s="1" t="n">
        <v>45089</v>
      </c>
      <c r="C176" s="1" t="n">
        <v>45877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25852-2023</t>
        </is>
      </c>
      <c r="B177" s="1" t="n">
        <v>45090</v>
      </c>
      <c r="C177" s="1" t="n">
        <v>45877</v>
      </c>
      <c r="D177" t="inlineStr">
        <is>
          <t>VÄRMLANDS LÄN</t>
        </is>
      </c>
      <c r="E177" t="inlineStr">
        <is>
          <t>STORFORS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28994-2023</t>
        </is>
      </c>
      <c r="B178" s="1" t="n">
        <v>45104</v>
      </c>
      <c r="C178" s="1" t="n">
        <v>45877</v>
      </c>
      <c r="D178" t="inlineStr">
        <is>
          <t>VÄRMLANDS LÄN</t>
        </is>
      </c>
      <c r="E178" t="inlineStr">
        <is>
          <t>STORFORS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29002-2023</t>
        </is>
      </c>
      <c r="B179" s="1" t="n">
        <v>45104</v>
      </c>
      <c r="C179" s="1" t="n">
        <v>45877</v>
      </c>
      <c r="D179" t="inlineStr">
        <is>
          <t>VÄRMLANDS LÄN</t>
        </is>
      </c>
      <c r="E179" t="inlineStr">
        <is>
          <t>STORFORS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29419-2023</t>
        </is>
      </c>
      <c r="B180" s="1" t="n">
        <v>45106</v>
      </c>
      <c r="C180" s="1" t="n">
        <v>45877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29495-2023</t>
        </is>
      </c>
      <c r="B181" s="1" t="n">
        <v>45106</v>
      </c>
      <c r="C181" s="1" t="n">
        <v>45877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30100-2023</t>
        </is>
      </c>
      <c r="B182" s="1" t="n">
        <v>45110</v>
      </c>
      <c r="C182" s="1" t="n">
        <v>45877</v>
      </c>
      <c r="D182" t="inlineStr">
        <is>
          <t>VÄRMLANDS LÄN</t>
        </is>
      </c>
      <c r="E182" t="inlineStr">
        <is>
          <t>STORFORS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30587-2023</t>
        </is>
      </c>
      <c r="B183" s="1" t="n">
        <v>45112</v>
      </c>
      <c r="C183" s="1" t="n">
        <v>45877</v>
      </c>
      <c r="D183" t="inlineStr">
        <is>
          <t>VÄRMLANDS LÄN</t>
        </is>
      </c>
      <c r="E183" t="inlineStr">
        <is>
          <t>STORFORS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31372-2023</t>
        </is>
      </c>
      <c r="B184" s="1" t="n">
        <v>45114</v>
      </c>
      <c r="C184" s="1" t="n">
        <v>45877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32257-2023</t>
        </is>
      </c>
      <c r="B185" s="1" t="n">
        <v>45120</v>
      </c>
      <c r="C185" s="1" t="n">
        <v>45877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32950-2023</t>
        </is>
      </c>
      <c r="B186" s="1" t="n">
        <v>45125</v>
      </c>
      <c r="C186" s="1" t="n">
        <v>45877</v>
      </c>
      <c r="D186" t="inlineStr">
        <is>
          <t>VÄRMLANDS LÄN</t>
        </is>
      </c>
      <c r="E186" t="inlineStr">
        <is>
          <t>STORFORS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32954-2023</t>
        </is>
      </c>
      <c r="B187" s="1" t="n">
        <v>45125</v>
      </c>
      <c r="C187" s="1" t="n">
        <v>45877</v>
      </c>
      <c r="D187" t="inlineStr">
        <is>
          <t>VÄRMLANDS LÄN</t>
        </is>
      </c>
      <c r="E187" t="inlineStr">
        <is>
          <t>STORFORS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34280-2023</t>
        </is>
      </c>
      <c r="B188" s="1" t="n">
        <v>45138</v>
      </c>
      <c r="C188" s="1" t="n">
        <v>45877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34944-2023</t>
        </is>
      </c>
      <c r="B189" s="1" t="n">
        <v>45142</v>
      </c>
      <c r="C189" s="1" t="n">
        <v>45877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34915-2023</t>
        </is>
      </c>
      <c r="B190" s="1" t="n">
        <v>45142</v>
      </c>
      <c r="C190" s="1" t="n">
        <v>45877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35370-2023</t>
        </is>
      </c>
      <c r="B191" s="1" t="n">
        <v>45146</v>
      </c>
      <c r="C191" s="1" t="n">
        <v>45877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36697-2023</t>
        </is>
      </c>
      <c r="B192" s="1" t="n">
        <v>45153</v>
      </c>
      <c r="C192" s="1" t="n">
        <v>45877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39025-2023</t>
        </is>
      </c>
      <c r="B193" s="1" t="n">
        <v>45163</v>
      </c>
      <c r="C193" s="1" t="n">
        <v>45877</v>
      </c>
      <c r="D193" t="inlineStr">
        <is>
          <t>VÄRMLANDS LÄN</t>
        </is>
      </c>
      <c r="E193" t="inlineStr">
        <is>
          <t>STORFORS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39998-2023</t>
        </is>
      </c>
      <c r="B194" s="1" t="n">
        <v>45168</v>
      </c>
      <c r="C194" s="1" t="n">
        <v>45877</v>
      </c>
      <c r="D194" t="inlineStr">
        <is>
          <t>VÄRMLANDS LÄN</t>
        </is>
      </c>
      <c r="E194" t="inlineStr">
        <is>
          <t>STORFORS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41303-2023</t>
        </is>
      </c>
      <c r="B195" s="1" t="n">
        <v>45174</v>
      </c>
      <c r="C195" s="1" t="n">
        <v>45877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41325-2023</t>
        </is>
      </c>
      <c r="B196" s="1" t="n">
        <v>45174</v>
      </c>
      <c r="C196" s="1" t="n">
        <v>45877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41214-2023</t>
        </is>
      </c>
      <c r="B197" s="1" t="n">
        <v>45174</v>
      </c>
      <c r="C197" s="1" t="n">
        <v>45877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51.6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41265-2023</t>
        </is>
      </c>
      <c r="B198" s="1" t="n">
        <v>45174</v>
      </c>
      <c r="C198" s="1" t="n">
        <v>45877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29.7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41554-2023</t>
        </is>
      </c>
      <c r="B199" s="1" t="n">
        <v>45175</v>
      </c>
      <c r="C199" s="1" t="n">
        <v>45877</v>
      </c>
      <c r="D199" t="inlineStr">
        <is>
          <t>VÄRMLANDS LÄN</t>
        </is>
      </c>
      <c r="E199" t="inlineStr">
        <is>
          <t>STORFORS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41551-2023</t>
        </is>
      </c>
      <c r="B200" s="1" t="n">
        <v>45175</v>
      </c>
      <c r="C200" s="1" t="n">
        <v>45877</v>
      </c>
      <c r="D200" t="inlineStr">
        <is>
          <t>VÄRMLANDS LÄN</t>
        </is>
      </c>
      <c r="E200" t="inlineStr">
        <is>
          <t>STORFORS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41875-2023</t>
        </is>
      </c>
      <c r="B201" s="1" t="n">
        <v>45176</v>
      </c>
      <c r="C201" s="1" t="n">
        <v>45877</v>
      </c>
      <c r="D201" t="inlineStr">
        <is>
          <t>VÄRMLANDS LÄN</t>
        </is>
      </c>
      <c r="E201" t="inlineStr">
        <is>
          <t>STORFORS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43357-2023</t>
        </is>
      </c>
      <c r="B202" s="1" t="n">
        <v>45183</v>
      </c>
      <c r="C202" s="1" t="n">
        <v>45877</v>
      </c>
      <c r="D202" t="inlineStr">
        <is>
          <t>VÄRMLANDS LÄN</t>
        </is>
      </c>
      <c r="E202" t="inlineStr">
        <is>
          <t>STORFORS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43359-2023</t>
        </is>
      </c>
      <c r="B203" s="1" t="n">
        <v>45183</v>
      </c>
      <c r="C203" s="1" t="n">
        <v>45877</v>
      </c>
      <c r="D203" t="inlineStr">
        <is>
          <t>VÄRMLANDS LÄN</t>
        </is>
      </c>
      <c r="E203" t="inlineStr">
        <is>
          <t>STORFORS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43358-2023</t>
        </is>
      </c>
      <c r="B204" s="1" t="n">
        <v>45183</v>
      </c>
      <c r="C204" s="1" t="n">
        <v>45877</v>
      </c>
      <c r="D204" t="inlineStr">
        <is>
          <t>VÄRMLANDS LÄN</t>
        </is>
      </c>
      <c r="E204" t="inlineStr">
        <is>
          <t>STORFORS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45146-2023</t>
        </is>
      </c>
      <c r="B205" s="1" t="n">
        <v>45191</v>
      </c>
      <c r="C205" s="1" t="n">
        <v>45877</v>
      </c>
      <c r="D205" t="inlineStr">
        <is>
          <t>VÄRMLANDS LÄN</t>
        </is>
      </c>
      <c r="E205" t="inlineStr">
        <is>
          <t>STORFORS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45154-2023</t>
        </is>
      </c>
      <c r="B206" s="1" t="n">
        <v>45191</v>
      </c>
      <c r="C206" s="1" t="n">
        <v>45877</v>
      </c>
      <c r="D206" t="inlineStr">
        <is>
          <t>VÄRMLANDS LÄN</t>
        </is>
      </c>
      <c r="E206" t="inlineStr">
        <is>
          <t>STORFORS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46376-2023</t>
        </is>
      </c>
      <c r="B207" s="1" t="n">
        <v>45197</v>
      </c>
      <c r="C207" s="1" t="n">
        <v>45877</v>
      </c>
      <c r="D207" t="inlineStr">
        <is>
          <t>VÄRMLANDS LÄN</t>
        </is>
      </c>
      <c r="E207" t="inlineStr">
        <is>
          <t>STORFORS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46389-2023</t>
        </is>
      </c>
      <c r="B208" s="1" t="n">
        <v>45197</v>
      </c>
      <c r="C208" s="1" t="n">
        <v>45877</v>
      </c>
      <c r="D208" t="inlineStr">
        <is>
          <t>VÄRMLANDS LÄN</t>
        </is>
      </c>
      <c r="E208" t="inlineStr">
        <is>
          <t>STORFORS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47279-2023</t>
        </is>
      </c>
      <c r="B209" s="1" t="n">
        <v>45202</v>
      </c>
      <c r="C209" s="1" t="n">
        <v>45877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47624-2023</t>
        </is>
      </c>
      <c r="B210" s="1" t="n">
        <v>45203</v>
      </c>
      <c r="C210" s="1" t="n">
        <v>45877</v>
      </c>
      <c r="D210" t="inlineStr">
        <is>
          <t>VÄRMLANDS LÄN</t>
        </is>
      </c>
      <c r="E210" t="inlineStr">
        <is>
          <t>STORFORS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47728-2023</t>
        </is>
      </c>
      <c r="B211" s="1" t="n">
        <v>45203</v>
      </c>
      <c r="C211" s="1" t="n">
        <v>45877</v>
      </c>
      <c r="D211" t="inlineStr">
        <is>
          <t>VÄRMLANDS LÄN</t>
        </is>
      </c>
      <c r="E211" t="inlineStr">
        <is>
          <t>STORFORS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47894-2023</t>
        </is>
      </c>
      <c r="B212" s="1" t="n">
        <v>45204</v>
      </c>
      <c r="C212" s="1" t="n">
        <v>45877</v>
      </c>
      <c r="D212" t="inlineStr">
        <is>
          <t>VÄRMLANDS LÄN</t>
        </is>
      </c>
      <c r="E212" t="inlineStr">
        <is>
          <t>STORFORS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49738-2023</t>
        </is>
      </c>
      <c r="B213" s="1" t="n">
        <v>45212</v>
      </c>
      <c r="C213" s="1" t="n">
        <v>45877</v>
      </c>
      <c r="D213" t="inlineStr">
        <is>
          <t>VÄRMLANDS LÄN</t>
        </is>
      </c>
      <c r="E213" t="inlineStr">
        <is>
          <t>STORFORS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49741-2023</t>
        </is>
      </c>
      <c r="B214" s="1" t="n">
        <v>45212</v>
      </c>
      <c r="C214" s="1" t="n">
        <v>45877</v>
      </c>
      <c r="D214" t="inlineStr">
        <is>
          <t>VÄRMLANDS LÄN</t>
        </is>
      </c>
      <c r="E214" t="inlineStr">
        <is>
          <t>STORFORS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51235-2023</t>
        </is>
      </c>
      <c r="B215" s="1" t="n">
        <v>45219</v>
      </c>
      <c r="C215" s="1" t="n">
        <v>45877</v>
      </c>
      <c r="D215" t="inlineStr">
        <is>
          <t>VÄRMLANDS LÄN</t>
        </is>
      </c>
      <c r="E215" t="inlineStr">
        <is>
          <t>STORFORS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51218-2023</t>
        </is>
      </c>
      <c r="B216" s="1" t="n">
        <v>45219</v>
      </c>
      <c r="C216" s="1" t="n">
        <v>45877</v>
      </c>
      <c r="D216" t="inlineStr">
        <is>
          <t>VÄRMLANDS LÄN</t>
        </is>
      </c>
      <c r="E216" t="inlineStr">
        <is>
          <t>STORFORS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52872-2023</t>
        </is>
      </c>
      <c r="B217" s="1" t="n">
        <v>45226</v>
      </c>
      <c r="C217" s="1" t="n">
        <v>45877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52979-2023</t>
        </is>
      </c>
      <c r="B218" s="1" t="n">
        <v>45226</v>
      </c>
      <c r="C218" s="1" t="n">
        <v>45877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52834-2023</t>
        </is>
      </c>
      <c r="B219" s="1" t="n">
        <v>45226</v>
      </c>
      <c r="C219" s="1" t="n">
        <v>45877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53202-2023</t>
        </is>
      </c>
      <c r="B220" s="1" t="n">
        <v>45229</v>
      </c>
      <c r="C220" s="1" t="n">
        <v>45877</v>
      </c>
      <c r="D220" t="inlineStr">
        <is>
          <t>VÄRMLANDS LÄN</t>
        </is>
      </c>
      <c r="E220" t="inlineStr">
        <is>
          <t>STORFORS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53176-2023</t>
        </is>
      </c>
      <c r="B221" s="1" t="n">
        <v>45229</v>
      </c>
      <c r="C221" s="1" t="n">
        <v>45877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54145-2023</t>
        </is>
      </c>
      <c r="B222" s="1" t="n">
        <v>45232</v>
      </c>
      <c r="C222" s="1" t="n">
        <v>45877</v>
      </c>
      <c r="D222" t="inlineStr">
        <is>
          <t>VÄRMLANDS LÄN</t>
        </is>
      </c>
      <c r="E222" t="inlineStr">
        <is>
          <t>STORFORS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54174-2023</t>
        </is>
      </c>
      <c r="B223" s="1" t="n">
        <v>45232</v>
      </c>
      <c r="C223" s="1" t="n">
        <v>45877</v>
      </c>
      <c r="D223" t="inlineStr">
        <is>
          <t>VÄRMLANDS LÄN</t>
        </is>
      </c>
      <c r="E223" t="inlineStr">
        <is>
          <t>STORFORS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54190-2023</t>
        </is>
      </c>
      <c r="B224" s="1" t="n">
        <v>45232</v>
      </c>
      <c r="C224" s="1" t="n">
        <v>45877</v>
      </c>
      <c r="D224" t="inlineStr">
        <is>
          <t>VÄRMLANDS LÄN</t>
        </is>
      </c>
      <c r="E224" t="inlineStr">
        <is>
          <t>STORFORS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54163-2023</t>
        </is>
      </c>
      <c r="B225" s="1" t="n">
        <v>45232</v>
      </c>
      <c r="C225" s="1" t="n">
        <v>45877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54184-2023</t>
        </is>
      </c>
      <c r="B226" s="1" t="n">
        <v>45232</v>
      </c>
      <c r="C226" s="1" t="n">
        <v>45877</v>
      </c>
      <c r="D226" t="inlineStr">
        <is>
          <t>VÄRMLANDS LÄN</t>
        </is>
      </c>
      <c r="E226" t="inlineStr">
        <is>
          <t>STORFORS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54187-2023</t>
        </is>
      </c>
      <c r="B227" s="1" t="n">
        <v>45232</v>
      </c>
      <c r="C227" s="1" t="n">
        <v>45877</v>
      </c>
      <c r="D227" t="inlineStr">
        <is>
          <t>VÄRMLANDS LÄN</t>
        </is>
      </c>
      <c r="E227" t="inlineStr">
        <is>
          <t>STORFORS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54738-2023</t>
        </is>
      </c>
      <c r="B228" s="1" t="n">
        <v>45236</v>
      </c>
      <c r="C228" s="1" t="n">
        <v>45877</v>
      </c>
      <c r="D228" t="inlineStr">
        <is>
          <t>VÄRMLANDS LÄN</t>
        </is>
      </c>
      <c r="E228" t="inlineStr">
        <is>
          <t>STORFORS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59650-2023</t>
        </is>
      </c>
      <c r="B229" s="1" t="n">
        <v>45254</v>
      </c>
      <c r="C229" s="1" t="n">
        <v>45877</v>
      </c>
      <c r="D229" t="inlineStr">
        <is>
          <t>VÄRMLANDS LÄN</t>
        </is>
      </c>
      <c r="E229" t="inlineStr">
        <is>
          <t>STORFORS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59651-2023</t>
        </is>
      </c>
      <c r="B230" s="1" t="n">
        <v>45254</v>
      </c>
      <c r="C230" s="1" t="n">
        <v>45877</v>
      </c>
      <c r="D230" t="inlineStr">
        <is>
          <t>VÄRMLANDS LÄN</t>
        </is>
      </c>
      <c r="E230" t="inlineStr">
        <is>
          <t>STORFORS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59714-2023</t>
        </is>
      </c>
      <c r="B231" s="1" t="n">
        <v>45257</v>
      </c>
      <c r="C231" s="1" t="n">
        <v>45877</v>
      </c>
      <c r="D231" t="inlineStr">
        <is>
          <t>VÄRMLANDS LÄN</t>
        </is>
      </c>
      <c r="E231" t="inlineStr">
        <is>
          <t>STORFORS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59930-2023</t>
        </is>
      </c>
      <c r="B232" s="1" t="n">
        <v>45257</v>
      </c>
      <c r="C232" s="1" t="n">
        <v>45877</v>
      </c>
      <c r="D232" t="inlineStr">
        <is>
          <t>VÄRMLANDS LÄN</t>
        </is>
      </c>
      <c r="E232" t="inlineStr">
        <is>
          <t>STORFORS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61228-2023</t>
        </is>
      </c>
      <c r="B233" s="1" t="n">
        <v>45264</v>
      </c>
      <c r="C233" s="1" t="n">
        <v>45877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61704-2023</t>
        </is>
      </c>
      <c r="B234" s="1" t="n">
        <v>45265</v>
      </c>
      <c r="C234" s="1" t="n">
        <v>45877</v>
      </c>
      <c r="D234" t="inlineStr">
        <is>
          <t>VÄRMLANDS LÄN</t>
        </is>
      </c>
      <c r="E234" t="inlineStr">
        <is>
          <t>STORFORS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61557-2023</t>
        </is>
      </c>
      <c r="B235" s="1" t="n">
        <v>45265</v>
      </c>
      <c r="C235" s="1" t="n">
        <v>45877</v>
      </c>
      <c r="D235" t="inlineStr">
        <is>
          <t>VÄRMLANDS LÄN</t>
        </is>
      </c>
      <c r="E235" t="inlineStr">
        <is>
          <t>STORFORS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62769-2023</t>
        </is>
      </c>
      <c r="B236" s="1" t="n">
        <v>45271</v>
      </c>
      <c r="C236" s="1" t="n">
        <v>45877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63435-2023</t>
        </is>
      </c>
      <c r="B237" s="1" t="n">
        <v>45274</v>
      </c>
      <c r="C237" s="1" t="n">
        <v>45877</v>
      </c>
      <c r="D237" t="inlineStr">
        <is>
          <t>VÄRMLANDS LÄN</t>
        </is>
      </c>
      <c r="E237" t="inlineStr">
        <is>
          <t>STORFORS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63566-2023</t>
        </is>
      </c>
      <c r="B238" s="1" t="n">
        <v>45275</v>
      </c>
      <c r="C238" s="1" t="n">
        <v>45877</v>
      </c>
      <c r="D238" t="inlineStr">
        <is>
          <t>VÄRMLANDS LÄN</t>
        </is>
      </c>
      <c r="E238" t="inlineStr">
        <is>
          <t>STORFORS</t>
        </is>
      </c>
      <c r="F238" t="inlineStr">
        <is>
          <t>Bergvik skog väst AB</t>
        </is>
      </c>
      <c r="G238" t="n">
        <v>36.4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64548-2023</t>
        </is>
      </c>
      <c r="B239" s="1" t="n">
        <v>45281</v>
      </c>
      <c r="C239" s="1" t="n">
        <v>45877</v>
      </c>
      <c r="D239" t="inlineStr">
        <is>
          <t>VÄRMLANDS LÄN</t>
        </is>
      </c>
      <c r="E239" t="inlineStr">
        <is>
          <t>STORFORS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64558-2023</t>
        </is>
      </c>
      <c r="B240" s="1" t="n">
        <v>45281</v>
      </c>
      <c r="C240" s="1" t="n">
        <v>45877</v>
      </c>
      <c r="D240" t="inlineStr">
        <is>
          <t>VÄRMLANDS LÄN</t>
        </is>
      </c>
      <c r="E240" t="inlineStr">
        <is>
          <t>STORFORS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65072-2023</t>
        </is>
      </c>
      <c r="B241" s="1" t="n">
        <v>45287</v>
      </c>
      <c r="C241" s="1" t="n">
        <v>45877</v>
      </c>
      <c r="D241" t="inlineStr">
        <is>
          <t>VÄRMLANDS LÄN</t>
        </is>
      </c>
      <c r="E241" t="inlineStr">
        <is>
          <t>STORFORS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65071-2023</t>
        </is>
      </c>
      <c r="B242" s="1" t="n">
        <v>45287</v>
      </c>
      <c r="C242" s="1" t="n">
        <v>45877</v>
      </c>
      <c r="D242" t="inlineStr">
        <is>
          <t>VÄRMLANDS LÄN</t>
        </is>
      </c>
      <c r="E242" t="inlineStr">
        <is>
          <t>STORFORS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65103-2023</t>
        </is>
      </c>
      <c r="B243" s="1" t="n">
        <v>45288</v>
      </c>
      <c r="C243" s="1" t="n">
        <v>45877</v>
      </c>
      <c r="D243" t="inlineStr">
        <is>
          <t>VÄRMLANDS LÄN</t>
        </is>
      </c>
      <c r="E243" t="inlineStr">
        <is>
          <t>STORFORS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4998-2024</t>
        </is>
      </c>
      <c r="B244" s="1" t="n">
        <v>45329</v>
      </c>
      <c r="C244" s="1" t="n">
        <v>45877</v>
      </c>
      <c r="D244" t="inlineStr">
        <is>
          <t>VÄRMLANDS LÄN</t>
        </is>
      </c>
      <c r="E244" t="inlineStr">
        <is>
          <t>STORFORS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6162-2024</t>
        </is>
      </c>
      <c r="B245" s="1" t="n">
        <v>45337</v>
      </c>
      <c r="C245" s="1" t="n">
        <v>45877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7948-2024</t>
        </is>
      </c>
      <c r="B246" s="1" t="n">
        <v>45350</v>
      </c>
      <c r="C246" s="1" t="n">
        <v>45877</v>
      </c>
      <c r="D246" t="inlineStr">
        <is>
          <t>VÄRMLANDS LÄN</t>
        </is>
      </c>
      <c r="E246" t="inlineStr">
        <is>
          <t>STORFORS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8613-2024</t>
        </is>
      </c>
      <c r="B247" s="1" t="n">
        <v>45355</v>
      </c>
      <c r="C247" s="1" t="n">
        <v>45877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8929-2024</t>
        </is>
      </c>
      <c r="B248" s="1" t="n">
        <v>45357</v>
      </c>
      <c r="C248" s="1" t="n">
        <v>45877</v>
      </c>
      <c r="D248" t="inlineStr">
        <is>
          <t>VÄRMLANDS LÄN</t>
        </is>
      </c>
      <c r="E248" t="inlineStr">
        <is>
          <t>STORFORS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9951-2024</t>
        </is>
      </c>
      <c r="B249" s="1" t="n">
        <v>45363</v>
      </c>
      <c r="C249" s="1" t="n">
        <v>45877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11177-2024</t>
        </is>
      </c>
      <c r="B250" s="1" t="n">
        <v>45371</v>
      </c>
      <c r="C250" s="1" t="n">
        <v>45877</v>
      </c>
      <c r="D250" t="inlineStr">
        <is>
          <t>VÄRMLANDS LÄN</t>
        </is>
      </c>
      <c r="E250" t="inlineStr">
        <is>
          <t>STORFORS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11452-2024</t>
        </is>
      </c>
      <c r="B251" s="1" t="n">
        <v>45372</v>
      </c>
      <c r="C251" s="1" t="n">
        <v>45877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11479-2024</t>
        </is>
      </c>
      <c r="B252" s="1" t="n">
        <v>45372</v>
      </c>
      <c r="C252" s="1" t="n">
        <v>45877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11710-2024</t>
        </is>
      </c>
      <c r="B253" s="1" t="n">
        <v>45373</v>
      </c>
      <c r="C253" s="1" t="n">
        <v>45877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11619-2024</t>
        </is>
      </c>
      <c r="B254" s="1" t="n">
        <v>45373</v>
      </c>
      <c r="C254" s="1" t="n">
        <v>45877</v>
      </c>
      <c r="D254" t="inlineStr">
        <is>
          <t>VÄRMLANDS LÄN</t>
        </is>
      </c>
      <c r="E254" t="inlineStr">
        <is>
          <t>STORFORS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12227-2024</t>
        </is>
      </c>
      <c r="B255" s="1" t="n">
        <v>45378</v>
      </c>
      <c r="C255" s="1" t="n">
        <v>45877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12342-2024</t>
        </is>
      </c>
      <c r="B256" s="1" t="n">
        <v>45378</v>
      </c>
      <c r="C256" s="1" t="n">
        <v>45877</v>
      </c>
      <c r="D256" t="inlineStr">
        <is>
          <t>VÄRMLANDS LÄN</t>
        </is>
      </c>
      <c r="E256" t="inlineStr">
        <is>
          <t>STORFORS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13260-2024</t>
        </is>
      </c>
      <c r="B257" s="1" t="n">
        <v>45386</v>
      </c>
      <c r="C257" s="1" t="n">
        <v>45877</v>
      </c>
      <c r="D257" t="inlineStr">
        <is>
          <t>VÄRMLANDS LÄN</t>
        </is>
      </c>
      <c r="E257" t="inlineStr">
        <is>
          <t>STORFORS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13266-2024</t>
        </is>
      </c>
      <c r="B258" s="1" t="n">
        <v>45386</v>
      </c>
      <c r="C258" s="1" t="n">
        <v>45877</v>
      </c>
      <c r="D258" t="inlineStr">
        <is>
          <t>VÄRMLANDS LÄN</t>
        </is>
      </c>
      <c r="E258" t="inlineStr">
        <is>
          <t>STORFORS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13288-2024</t>
        </is>
      </c>
      <c r="B259" s="1" t="n">
        <v>45386</v>
      </c>
      <c r="C259" s="1" t="n">
        <v>45877</v>
      </c>
      <c r="D259" t="inlineStr">
        <is>
          <t>VÄRMLANDS LÄN</t>
        </is>
      </c>
      <c r="E259" t="inlineStr">
        <is>
          <t>STORFORS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13636-2024</t>
        </is>
      </c>
      <c r="B260" s="1" t="n">
        <v>45390</v>
      </c>
      <c r="C260" s="1" t="n">
        <v>45877</v>
      </c>
      <c r="D260" t="inlineStr">
        <is>
          <t>VÄRMLANDS LÄN</t>
        </is>
      </c>
      <c r="E260" t="inlineStr">
        <is>
          <t>STORFORS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13906-2024</t>
        </is>
      </c>
      <c r="B261" s="1" t="n">
        <v>45391</v>
      </c>
      <c r="C261" s="1" t="n">
        <v>45877</v>
      </c>
      <c r="D261" t="inlineStr">
        <is>
          <t>VÄRMLANDS LÄN</t>
        </is>
      </c>
      <c r="E261" t="inlineStr">
        <is>
          <t>STORFORS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14304-2024</t>
        </is>
      </c>
      <c r="B262" s="1" t="n">
        <v>45393</v>
      </c>
      <c r="C262" s="1" t="n">
        <v>45877</v>
      </c>
      <c r="D262" t="inlineStr">
        <is>
          <t>VÄRMLANDS LÄN</t>
        </is>
      </c>
      <c r="E262" t="inlineStr">
        <is>
          <t>STORFORS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14605-2024</t>
        </is>
      </c>
      <c r="B263" s="1" t="n">
        <v>45396</v>
      </c>
      <c r="C263" s="1" t="n">
        <v>45877</v>
      </c>
      <c r="D263" t="inlineStr">
        <is>
          <t>VÄRMLANDS LÄN</t>
        </is>
      </c>
      <c r="E263" t="inlineStr">
        <is>
          <t>STORFORS</t>
        </is>
      </c>
      <c r="F263" t="inlineStr">
        <is>
          <t>Bergvik skog väst AB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15081-2024</t>
        </is>
      </c>
      <c r="B264" s="1" t="n">
        <v>45399</v>
      </c>
      <c r="C264" s="1" t="n">
        <v>45877</v>
      </c>
      <c r="D264" t="inlineStr">
        <is>
          <t>VÄRMLANDS LÄN</t>
        </is>
      </c>
      <c r="E264" t="inlineStr">
        <is>
          <t>STORFORS</t>
        </is>
      </c>
      <c r="F264" t="inlineStr">
        <is>
          <t>Kyrkan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15442-2024</t>
        </is>
      </c>
      <c r="B265" s="1" t="n">
        <v>45401</v>
      </c>
      <c r="C265" s="1" t="n">
        <v>45877</v>
      </c>
      <c r="D265" t="inlineStr">
        <is>
          <t>VÄRMLANDS LÄN</t>
        </is>
      </c>
      <c r="E265" t="inlineStr">
        <is>
          <t>STORFORS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15437-2024</t>
        </is>
      </c>
      <c r="B266" s="1" t="n">
        <v>45401</v>
      </c>
      <c r="C266" s="1" t="n">
        <v>45877</v>
      </c>
      <c r="D266" t="inlineStr">
        <is>
          <t>VÄRMLANDS LÄN</t>
        </is>
      </c>
      <c r="E266" t="inlineStr">
        <is>
          <t>STORFORS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16931-2024</t>
        </is>
      </c>
      <c r="B267" s="1" t="n">
        <v>45411</v>
      </c>
      <c r="C267" s="1" t="n">
        <v>45877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16916-2024</t>
        </is>
      </c>
      <c r="B268" s="1" t="n">
        <v>45411</v>
      </c>
      <c r="C268" s="1" t="n">
        <v>45877</v>
      </c>
      <c r="D268" t="inlineStr">
        <is>
          <t>VÄRMLANDS LÄN</t>
        </is>
      </c>
      <c r="E268" t="inlineStr">
        <is>
          <t>STORFORS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19099-2024</t>
        </is>
      </c>
      <c r="B269" s="1" t="n">
        <v>45428</v>
      </c>
      <c r="C269" s="1" t="n">
        <v>45877</v>
      </c>
      <c r="D269" t="inlineStr">
        <is>
          <t>VÄRMLANDS LÄN</t>
        </is>
      </c>
      <c r="E269" t="inlineStr">
        <is>
          <t>STORFORS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21942-2024</t>
        </is>
      </c>
      <c r="B270" s="1" t="n">
        <v>45443</v>
      </c>
      <c r="C270" s="1" t="n">
        <v>45877</v>
      </c>
      <c r="D270" t="inlineStr">
        <is>
          <t>VÄRMLANDS LÄN</t>
        </is>
      </c>
      <c r="E270" t="inlineStr">
        <is>
          <t>STORFORS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22780-2024</t>
        </is>
      </c>
      <c r="B271" s="1" t="n">
        <v>45448</v>
      </c>
      <c r="C271" s="1" t="n">
        <v>45877</v>
      </c>
      <c r="D271" t="inlineStr">
        <is>
          <t>VÄRMLANDS LÄN</t>
        </is>
      </c>
      <c r="E271" t="inlineStr">
        <is>
          <t>STORFORS</t>
        </is>
      </c>
      <c r="F271" t="inlineStr">
        <is>
          <t>Naturvårdsverket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23279-2024</t>
        </is>
      </c>
      <c r="B272" s="1" t="n">
        <v>45453</v>
      </c>
      <c r="C272" s="1" t="n">
        <v>45877</v>
      </c>
      <c r="D272" t="inlineStr">
        <is>
          <t>VÄRMLANDS LÄN</t>
        </is>
      </c>
      <c r="E272" t="inlineStr">
        <is>
          <t>STORFORS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24393-2024</t>
        </is>
      </c>
      <c r="B273" s="1" t="n">
        <v>45457</v>
      </c>
      <c r="C273" s="1" t="n">
        <v>45877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25785-2024</t>
        </is>
      </c>
      <c r="B274" s="1" t="n">
        <v>45466</v>
      </c>
      <c r="C274" s="1" t="n">
        <v>45877</v>
      </c>
      <c r="D274" t="inlineStr">
        <is>
          <t>VÄRMLANDS LÄN</t>
        </is>
      </c>
      <c r="E274" t="inlineStr">
        <is>
          <t>STORFORS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25916-2024</t>
        </is>
      </c>
      <c r="B275" s="1" t="n">
        <v>45467</v>
      </c>
      <c r="C275" s="1" t="n">
        <v>45877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45877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26189-2024</t>
        </is>
      </c>
      <c r="B277" s="1" t="n">
        <v>45468</v>
      </c>
      <c r="C277" s="1" t="n">
        <v>45877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26201-2024</t>
        </is>
      </c>
      <c r="B278" s="1" t="n">
        <v>45468</v>
      </c>
      <c r="C278" s="1" t="n">
        <v>45877</v>
      </c>
      <c r="D278" t="inlineStr">
        <is>
          <t>VÄRMLANDS LÄN</t>
        </is>
      </c>
      <c r="E278" t="inlineStr">
        <is>
          <t>STORFORS</t>
        </is>
      </c>
      <c r="F278" t="inlineStr">
        <is>
          <t>Bergvik skog väst AB</t>
        </is>
      </c>
      <c r="G278" t="n">
        <v>25.4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26873-2024</t>
        </is>
      </c>
      <c r="B279" s="1" t="n">
        <v>45470</v>
      </c>
      <c r="C279" s="1" t="n">
        <v>45877</v>
      </c>
      <c r="D279" t="inlineStr">
        <is>
          <t>VÄRMLANDS LÄN</t>
        </is>
      </c>
      <c r="E279" t="inlineStr">
        <is>
          <t>STORFORS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27122-2024</t>
        </is>
      </c>
      <c r="B280" s="1" t="n">
        <v>45471</v>
      </c>
      <c r="C280" s="1" t="n">
        <v>45877</v>
      </c>
      <c r="D280" t="inlineStr">
        <is>
          <t>VÄRMLANDS LÄN</t>
        </is>
      </c>
      <c r="E280" t="inlineStr">
        <is>
          <t>STORFORS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27127-2024</t>
        </is>
      </c>
      <c r="B281" s="1" t="n">
        <v>45471</v>
      </c>
      <c r="C281" s="1" t="n">
        <v>45877</v>
      </c>
      <c r="D281" t="inlineStr">
        <is>
          <t>VÄRMLANDS LÄN</t>
        </is>
      </c>
      <c r="E281" t="inlineStr">
        <is>
          <t>STORFORS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28757-2024</t>
        </is>
      </c>
      <c r="B282" s="1" t="n">
        <v>45478</v>
      </c>
      <c r="C282" s="1" t="n">
        <v>45877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28797-2024</t>
        </is>
      </c>
      <c r="B283" s="1" t="n">
        <v>45478</v>
      </c>
      <c r="C283" s="1" t="n">
        <v>45877</v>
      </c>
      <c r="D283" t="inlineStr">
        <is>
          <t>VÄRMLANDS LÄN</t>
        </is>
      </c>
      <c r="E283" t="inlineStr">
        <is>
          <t>STORFORS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28819-2024</t>
        </is>
      </c>
      <c r="B284" s="1" t="n">
        <v>45478</v>
      </c>
      <c r="C284" s="1" t="n">
        <v>45877</v>
      </c>
      <c r="D284" t="inlineStr">
        <is>
          <t>VÄRMLANDS LÄN</t>
        </is>
      </c>
      <c r="E284" t="inlineStr">
        <is>
          <t>STORFORS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31037-2024</t>
        </is>
      </c>
      <c r="B285" s="1" t="n">
        <v>45501</v>
      </c>
      <c r="C285" s="1" t="n">
        <v>45877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33806-2024</t>
        </is>
      </c>
      <c r="B286" s="1" t="n">
        <v>45520</v>
      </c>
      <c r="C286" s="1" t="n">
        <v>45877</v>
      </c>
      <c r="D286" t="inlineStr">
        <is>
          <t>VÄRMLANDS LÄN</t>
        </is>
      </c>
      <c r="E286" t="inlineStr">
        <is>
          <t>STORFORS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33660-2024</t>
        </is>
      </c>
      <c r="B287" s="1" t="n">
        <v>45520</v>
      </c>
      <c r="C287" s="1" t="n">
        <v>45877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33718-2024</t>
        </is>
      </c>
      <c r="B288" s="1" t="n">
        <v>45520</v>
      </c>
      <c r="C288" s="1" t="n">
        <v>45877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35043-2024</t>
        </is>
      </c>
      <c r="B289" s="1" t="n">
        <v>45527</v>
      </c>
      <c r="C289" s="1" t="n">
        <v>45877</v>
      </c>
      <c r="D289" t="inlineStr">
        <is>
          <t>VÄRMLANDS LÄN</t>
        </is>
      </c>
      <c r="E289" t="inlineStr">
        <is>
          <t>STORFORS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34971-2024</t>
        </is>
      </c>
      <c r="B290" s="1" t="n">
        <v>45527</v>
      </c>
      <c r="C290" s="1" t="n">
        <v>45877</v>
      </c>
      <c r="D290" t="inlineStr">
        <is>
          <t>VÄRMLANDS LÄN</t>
        </is>
      </c>
      <c r="E290" t="inlineStr">
        <is>
          <t>STORFORS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37430-2024</t>
        </is>
      </c>
      <c r="B291" s="1" t="n">
        <v>45540</v>
      </c>
      <c r="C291" s="1" t="n">
        <v>45877</v>
      </c>
      <c r="D291" t="inlineStr">
        <is>
          <t>VÄRMLANDS LÄN</t>
        </is>
      </c>
      <c r="E291" t="inlineStr">
        <is>
          <t>STORFORS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38147-2024</t>
        </is>
      </c>
      <c r="B292" s="1" t="n">
        <v>45545</v>
      </c>
      <c r="C292" s="1" t="n">
        <v>45877</v>
      </c>
      <c r="D292" t="inlineStr">
        <is>
          <t>VÄRMLANDS LÄN</t>
        </is>
      </c>
      <c r="E292" t="inlineStr">
        <is>
          <t>STORFORS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38176-2024</t>
        </is>
      </c>
      <c r="B293" s="1" t="n">
        <v>45545</v>
      </c>
      <c r="C293" s="1" t="n">
        <v>45877</v>
      </c>
      <c r="D293" t="inlineStr">
        <is>
          <t>VÄRMLANDS LÄN</t>
        </is>
      </c>
      <c r="E293" t="inlineStr">
        <is>
          <t>STORFORS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41656-2024</t>
        </is>
      </c>
      <c r="B294" s="1" t="n">
        <v>45560</v>
      </c>
      <c r="C294" s="1" t="n">
        <v>45877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45877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41479-2024</t>
        </is>
      </c>
      <c r="B296" s="1" t="n">
        <v>45560</v>
      </c>
      <c r="C296" s="1" t="n">
        <v>45877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41463-2024</t>
        </is>
      </c>
      <c r="B297" s="1" t="n">
        <v>45560</v>
      </c>
      <c r="C297" s="1" t="n">
        <v>45877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43692-2024</t>
        </is>
      </c>
      <c r="B298" s="1" t="n">
        <v>45569</v>
      </c>
      <c r="C298" s="1" t="n">
        <v>45877</v>
      </c>
      <c r="D298" t="inlineStr">
        <is>
          <t>VÄRMLANDS LÄN</t>
        </is>
      </c>
      <c r="E298" t="inlineStr">
        <is>
          <t>STORFORS</t>
        </is>
      </c>
      <c r="F298" t="inlineStr">
        <is>
          <t>Bergvik skog väst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44931-2024</t>
        </is>
      </c>
      <c r="B299" s="1" t="n">
        <v>45575</v>
      </c>
      <c r="C299" s="1" t="n">
        <v>45877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44972-2024</t>
        </is>
      </c>
      <c r="B300" s="1" t="n">
        <v>45575</v>
      </c>
      <c r="C300" s="1" t="n">
        <v>45877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45260-2024</t>
        </is>
      </c>
      <c r="B301" s="1" t="n">
        <v>45576</v>
      </c>
      <c r="C301" s="1" t="n">
        <v>45877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45271-2024</t>
        </is>
      </c>
      <c r="B302" s="1" t="n">
        <v>45576</v>
      </c>
      <c r="C302" s="1" t="n">
        <v>45877</v>
      </c>
      <c r="D302" t="inlineStr">
        <is>
          <t>VÄRMLANDS LÄN</t>
        </is>
      </c>
      <c r="E302" t="inlineStr">
        <is>
          <t>STORFORS</t>
        </is>
      </c>
      <c r="F302" t="inlineStr">
        <is>
          <t>Naturvårdsverket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45510-2024</t>
        </is>
      </c>
      <c r="B303" s="1" t="n">
        <v>45578</v>
      </c>
      <c r="C303" s="1" t="n">
        <v>45877</v>
      </c>
      <c r="D303" t="inlineStr">
        <is>
          <t>VÄRMLANDS LÄN</t>
        </is>
      </c>
      <c r="E303" t="inlineStr">
        <is>
          <t>STORFORS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45904-2024</t>
        </is>
      </c>
      <c r="B304" s="1" t="n">
        <v>45580</v>
      </c>
      <c r="C304" s="1" t="n">
        <v>45877</v>
      </c>
      <c r="D304" t="inlineStr">
        <is>
          <t>VÄRMLANDS LÄN</t>
        </is>
      </c>
      <c r="E304" t="inlineStr">
        <is>
          <t>STORFORS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47001-2024</t>
        </is>
      </c>
      <c r="B305" s="1" t="n">
        <v>45586</v>
      </c>
      <c r="C305" s="1" t="n">
        <v>45877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46997-2024</t>
        </is>
      </c>
      <c r="B306" s="1" t="n">
        <v>45586</v>
      </c>
      <c r="C306" s="1" t="n">
        <v>45877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46999-2024</t>
        </is>
      </c>
      <c r="B307" s="1" t="n">
        <v>45586</v>
      </c>
      <c r="C307" s="1" t="n">
        <v>45877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47003-2024</t>
        </is>
      </c>
      <c r="B308" s="1" t="n">
        <v>45586</v>
      </c>
      <c r="C308" s="1" t="n">
        <v>45877</v>
      </c>
      <c r="D308" t="inlineStr">
        <is>
          <t>VÄRMLANDS LÄN</t>
        </is>
      </c>
      <c r="E308" t="inlineStr">
        <is>
          <t>STORFORS</t>
        </is>
      </c>
      <c r="F308" t="inlineStr">
        <is>
          <t>Naturvårdsverket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47728-2024</t>
        </is>
      </c>
      <c r="B309" s="1" t="n">
        <v>45588</v>
      </c>
      <c r="C309" s="1" t="n">
        <v>45877</v>
      </c>
      <c r="D309" t="inlineStr">
        <is>
          <t>VÄRMLANDS LÄN</t>
        </is>
      </c>
      <c r="E309" t="inlineStr">
        <is>
          <t>STORFORS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47732-2024</t>
        </is>
      </c>
      <c r="B310" s="1" t="n">
        <v>45588</v>
      </c>
      <c r="C310" s="1" t="n">
        <v>45877</v>
      </c>
      <c r="D310" t="inlineStr">
        <is>
          <t>VÄRMLANDS LÄN</t>
        </is>
      </c>
      <c r="E310" t="inlineStr">
        <is>
          <t>STORFORS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47736-2024</t>
        </is>
      </c>
      <c r="B311" s="1" t="n">
        <v>45588</v>
      </c>
      <c r="C311" s="1" t="n">
        <v>45877</v>
      </c>
      <c r="D311" t="inlineStr">
        <is>
          <t>VÄRMLANDS LÄN</t>
        </is>
      </c>
      <c r="E311" t="inlineStr">
        <is>
          <t>STORFORS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47713-2024</t>
        </is>
      </c>
      <c r="B312" s="1" t="n">
        <v>45588</v>
      </c>
      <c r="C312" s="1" t="n">
        <v>45877</v>
      </c>
      <c r="D312" t="inlineStr">
        <is>
          <t>VÄRMLANDS LÄN</t>
        </is>
      </c>
      <c r="E312" t="inlineStr">
        <is>
          <t>STORFORS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48591-2024</t>
        </is>
      </c>
      <c r="B313" s="1" t="n">
        <v>45593</v>
      </c>
      <c r="C313" s="1" t="n">
        <v>45877</v>
      </c>
      <c r="D313" t="inlineStr">
        <is>
          <t>VÄRMLANDS LÄN</t>
        </is>
      </c>
      <c r="E313" t="inlineStr">
        <is>
          <t>STORFORS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49101-2024</t>
        </is>
      </c>
      <c r="B314" s="1" t="n">
        <v>45594</v>
      </c>
      <c r="C314" s="1" t="n">
        <v>45877</v>
      </c>
      <c r="D314" t="inlineStr">
        <is>
          <t>VÄRMLANDS LÄN</t>
        </is>
      </c>
      <c r="E314" t="inlineStr">
        <is>
          <t>STORFORS</t>
        </is>
      </c>
      <c r="F314" t="inlineStr">
        <is>
          <t>Kyrkan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49266-2024</t>
        </is>
      </c>
      <c r="B315" s="1" t="n">
        <v>45595</v>
      </c>
      <c r="C315" s="1" t="n">
        <v>45877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49306-2024</t>
        </is>
      </c>
      <c r="B316" s="1" t="n">
        <v>45595</v>
      </c>
      <c r="C316" s="1" t="n">
        <v>45877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49344-2024</t>
        </is>
      </c>
      <c r="B317" s="1" t="n">
        <v>45595</v>
      </c>
      <c r="C317" s="1" t="n">
        <v>45877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49311-2024</t>
        </is>
      </c>
      <c r="B318" s="1" t="n">
        <v>45595</v>
      </c>
      <c r="C318" s="1" t="n">
        <v>45877</v>
      </c>
      <c r="D318" t="inlineStr">
        <is>
          <t>VÄRMLANDS LÄN</t>
        </is>
      </c>
      <c r="E318" t="inlineStr">
        <is>
          <t>STORFORS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49507-2024</t>
        </is>
      </c>
      <c r="B319" s="1" t="n">
        <v>45596</v>
      </c>
      <c r="C319" s="1" t="n">
        <v>45877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49540-2024</t>
        </is>
      </c>
      <c r="B320" s="1" t="n">
        <v>45596</v>
      </c>
      <c r="C320" s="1" t="n">
        <v>45877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49548-2024</t>
        </is>
      </c>
      <c r="B321" s="1" t="n">
        <v>45596</v>
      </c>
      <c r="C321" s="1" t="n">
        <v>45877</v>
      </c>
      <c r="D321" t="inlineStr">
        <is>
          <t>VÄRMLANDS LÄN</t>
        </is>
      </c>
      <c r="E321" t="inlineStr">
        <is>
          <t>STORFORS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49596-2024</t>
        </is>
      </c>
      <c r="B322" s="1" t="n">
        <v>45596</v>
      </c>
      <c r="C322" s="1" t="n">
        <v>45877</v>
      </c>
      <c r="D322" t="inlineStr">
        <is>
          <t>VÄRMLANDS LÄN</t>
        </is>
      </c>
      <c r="E322" t="inlineStr">
        <is>
          <t>STORFORS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52479-2024</t>
        </is>
      </c>
      <c r="B323" s="1" t="n">
        <v>45609</v>
      </c>
      <c r="C323" s="1" t="n">
        <v>45877</v>
      </c>
      <c r="D323" t="inlineStr">
        <is>
          <t>VÄRMLANDS LÄN</t>
        </is>
      </c>
      <c r="E323" t="inlineStr">
        <is>
          <t>STORFORS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45877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53372-2024</t>
        </is>
      </c>
      <c r="B325" s="1" t="n">
        <v>45614</v>
      </c>
      <c r="C325" s="1" t="n">
        <v>45877</v>
      </c>
      <c r="D325" t="inlineStr">
        <is>
          <t>VÄRMLANDS LÄN</t>
        </is>
      </c>
      <c r="E325" t="inlineStr">
        <is>
          <t>STORFORS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53353-2024</t>
        </is>
      </c>
      <c r="B326" s="1" t="n">
        <v>45614</v>
      </c>
      <c r="C326" s="1" t="n">
        <v>45877</v>
      </c>
      <c r="D326" t="inlineStr">
        <is>
          <t>VÄRMLANDS LÄN</t>
        </is>
      </c>
      <c r="E326" t="inlineStr">
        <is>
          <t>STORFORS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53907-2024</t>
        </is>
      </c>
      <c r="B327" s="1" t="n">
        <v>45615</v>
      </c>
      <c r="C327" s="1" t="n">
        <v>45877</v>
      </c>
      <c r="D327" t="inlineStr">
        <is>
          <t>VÄRMLANDS LÄN</t>
        </is>
      </c>
      <c r="E327" t="inlineStr">
        <is>
          <t>STORFORS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53911-2024</t>
        </is>
      </c>
      <c r="B328" s="1" t="n">
        <v>45615</v>
      </c>
      <c r="C328" s="1" t="n">
        <v>45877</v>
      </c>
      <c r="D328" t="inlineStr">
        <is>
          <t>VÄRMLANDS LÄN</t>
        </is>
      </c>
      <c r="E328" t="inlineStr">
        <is>
          <t>STORFORS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53912-2024</t>
        </is>
      </c>
      <c r="B329" s="1" t="n">
        <v>45615</v>
      </c>
      <c r="C329" s="1" t="n">
        <v>45877</v>
      </c>
      <c r="D329" t="inlineStr">
        <is>
          <t>VÄRMLANDS LÄN</t>
        </is>
      </c>
      <c r="E329" t="inlineStr">
        <is>
          <t>STORFORS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54221-2024</t>
        </is>
      </c>
      <c r="B330" s="1" t="n">
        <v>45616</v>
      </c>
      <c r="C330" s="1" t="n">
        <v>45877</v>
      </c>
      <c r="D330" t="inlineStr">
        <is>
          <t>VÄRMLANDS LÄN</t>
        </is>
      </c>
      <c r="E330" t="inlineStr">
        <is>
          <t>STORFORS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54442-2024</t>
        </is>
      </c>
      <c r="B331" s="1" t="n">
        <v>45617</v>
      </c>
      <c r="C331" s="1" t="n">
        <v>45877</v>
      </c>
      <c r="D331" t="inlineStr">
        <is>
          <t>VÄRMLANDS LÄN</t>
        </is>
      </c>
      <c r="E331" t="inlineStr">
        <is>
          <t>STORFORS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55811-2024</t>
        </is>
      </c>
      <c r="B332" s="1" t="n">
        <v>45623</v>
      </c>
      <c r="C332" s="1" t="n">
        <v>45877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56920-2024</t>
        </is>
      </c>
      <c r="B333" s="1" t="n">
        <v>45628</v>
      </c>
      <c r="C333" s="1" t="n">
        <v>45877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57926-2024</t>
        </is>
      </c>
      <c r="B334" s="1" t="n">
        <v>45631</v>
      </c>
      <c r="C334" s="1" t="n">
        <v>45877</v>
      </c>
      <c r="D334" t="inlineStr">
        <is>
          <t>VÄRMLANDS LÄN</t>
        </is>
      </c>
      <c r="E334" t="inlineStr">
        <is>
          <t>STORFORS</t>
        </is>
      </c>
      <c r="F334" t="inlineStr">
        <is>
          <t>Kyrkan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58223-2024</t>
        </is>
      </c>
      <c r="B335" s="1" t="n">
        <v>45632</v>
      </c>
      <c r="C335" s="1" t="n">
        <v>45877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58586-2024</t>
        </is>
      </c>
      <c r="B336" s="1" t="n">
        <v>45635</v>
      </c>
      <c r="C336" s="1" t="n">
        <v>45877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45877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61728-2024</t>
        </is>
      </c>
      <c r="B338" s="1" t="n">
        <v>45649</v>
      </c>
      <c r="C338" s="1" t="n">
        <v>45877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23.3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45877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61765-2024</t>
        </is>
      </c>
      <c r="B340" s="1" t="n">
        <v>45649</v>
      </c>
      <c r="C340" s="1" t="n">
        <v>45877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61741-2024</t>
        </is>
      </c>
      <c r="B341" s="1" t="n">
        <v>45649</v>
      </c>
      <c r="C341" s="1" t="n">
        <v>45877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61974-2024</t>
        </is>
      </c>
      <c r="B342" s="1" t="n">
        <v>45653</v>
      </c>
      <c r="C342" s="1" t="n">
        <v>45877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62001-2024</t>
        </is>
      </c>
      <c r="B343" s="1" t="n">
        <v>45654</v>
      </c>
      <c r="C343" s="1" t="n">
        <v>45877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62069-2024</t>
        </is>
      </c>
      <c r="B344" s="1" t="n">
        <v>45656</v>
      </c>
      <c r="C344" s="1" t="n">
        <v>45877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62085-2024</t>
        </is>
      </c>
      <c r="B345" s="1" t="n">
        <v>45656</v>
      </c>
      <c r="C345" s="1" t="n">
        <v>45877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62034-2024</t>
        </is>
      </c>
      <c r="B346" s="1" t="n">
        <v>45656</v>
      </c>
      <c r="C346" s="1" t="n">
        <v>45877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62167-2024</t>
        </is>
      </c>
      <c r="B347" s="1" t="n">
        <v>45657</v>
      </c>
      <c r="C347" s="1" t="n">
        <v>45877</v>
      </c>
      <c r="D347" t="inlineStr">
        <is>
          <t>VÄRMLANDS LÄN</t>
        </is>
      </c>
      <c r="E347" t="inlineStr">
        <is>
          <t>STORFORS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45877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227-2025</t>
        </is>
      </c>
      <c r="B349" s="1" t="n">
        <v>45660</v>
      </c>
      <c r="C349" s="1" t="n">
        <v>45877</v>
      </c>
      <c r="D349" t="inlineStr">
        <is>
          <t>VÄRMLANDS LÄN</t>
        </is>
      </c>
      <c r="E349" t="inlineStr">
        <is>
          <t>STORFORS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215-2025</t>
        </is>
      </c>
      <c r="B350" s="1" t="n">
        <v>45660</v>
      </c>
      <c r="C350" s="1" t="n">
        <v>45877</v>
      </c>
      <c r="D350" t="inlineStr">
        <is>
          <t>VÄRMLANDS LÄN</t>
        </is>
      </c>
      <c r="E350" t="inlineStr">
        <is>
          <t>STORFORS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1431-2025</t>
        </is>
      </c>
      <c r="B351" s="1" t="n">
        <v>45669</v>
      </c>
      <c r="C351" s="1" t="n">
        <v>45877</v>
      </c>
      <c r="D351" t="inlineStr">
        <is>
          <t>VÄRMLANDS LÄN</t>
        </is>
      </c>
      <c r="E351" t="inlineStr">
        <is>
          <t>STORFORS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2525-2025</t>
        </is>
      </c>
      <c r="B352" s="1" t="n">
        <v>45674</v>
      </c>
      <c r="C352" s="1" t="n">
        <v>45877</v>
      </c>
      <c r="D352" t="inlineStr">
        <is>
          <t>VÄRMLANDS LÄN</t>
        </is>
      </c>
      <c r="E352" t="inlineStr">
        <is>
          <t>STORFORS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3455-2025</t>
        </is>
      </c>
      <c r="B353" s="1" t="n">
        <v>45680</v>
      </c>
      <c r="C353" s="1" t="n">
        <v>45877</v>
      </c>
      <c r="D353" t="inlineStr">
        <is>
          <t>VÄRMLANDS LÄN</t>
        </is>
      </c>
      <c r="E353" t="inlineStr">
        <is>
          <t>STORFORS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3452-2025</t>
        </is>
      </c>
      <c r="B354" s="1" t="n">
        <v>45680</v>
      </c>
      <c r="C354" s="1" t="n">
        <v>45877</v>
      </c>
      <c r="D354" t="inlineStr">
        <is>
          <t>VÄRMLANDS LÄN</t>
        </is>
      </c>
      <c r="E354" t="inlineStr">
        <is>
          <t>STORFORS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3721-2025</t>
        </is>
      </c>
      <c r="B355" s="1" t="n">
        <v>45681</v>
      </c>
      <c r="C355" s="1" t="n">
        <v>45877</v>
      </c>
      <c r="D355" t="inlineStr">
        <is>
          <t>VÄRMLANDS LÄN</t>
        </is>
      </c>
      <c r="E355" t="inlineStr">
        <is>
          <t>STORFORS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4494-2025</t>
        </is>
      </c>
      <c r="B356" s="1" t="n">
        <v>45686</v>
      </c>
      <c r="C356" s="1" t="n">
        <v>45877</v>
      </c>
      <c r="D356" t="inlineStr">
        <is>
          <t>VÄRMLANDS LÄN</t>
        </is>
      </c>
      <c r="E356" t="inlineStr">
        <is>
          <t>STORFORS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4465-2025</t>
        </is>
      </c>
      <c r="B357" s="1" t="n">
        <v>45686</v>
      </c>
      <c r="C357" s="1" t="n">
        <v>45877</v>
      </c>
      <c r="D357" t="inlineStr">
        <is>
          <t>VÄRMLANDS LÄN</t>
        </is>
      </c>
      <c r="E357" t="inlineStr">
        <is>
          <t>STORFORS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4640-2025</t>
        </is>
      </c>
      <c r="B358" s="1" t="n">
        <v>45687</v>
      </c>
      <c r="C358" s="1" t="n">
        <v>45877</v>
      </c>
      <c r="D358" t="inlineStr">
        <is>
          <t>VÄRMLANDS LÄN</t>
        </is>
      </c>
      <c r="E358" t="inlineStr">
        <is>
          <t>STORFORS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4744-2025</t>
        </is>
      </c>
      <c r="B359" s="1" t="n">
        <v>45688</v>
      </c>
      <c r="C359" s="1" t="n">
        <v>45877</v>
      </c>
      <c r="D359" t="inlineStr">
        <is>
          <t>VÄRMLANDS LÄN</t>
        </is>
      </c>
      <c r="E359" t="inlineStr">
        <is>
          <t>STORFORS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5881-2025</t>
        </is>
      </c>
      <c r="B360" s="1" t="n">
        <v>45695</v>
      </c>
      <c r="C360" s="1" t="n">
        <v>45877</v>
      </c>
      <c r="D360" t="inlineStr">
        <is>
          <t>VÄRMLANDS LÄN</t>
        </is>
      </c>
      <c r="E360" t="inlineStr">
        <is>
          <t>STORFORS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6856-2025</t>
        </is>
      </c>
      <c r="B361" s="1" t="n">
        <v>45700</v>
      </c>
      <c r="C361" s="1" t="n">
        <v>45877</v>
      </c>
      <c r="D361" t="inlineStr">
        <is>
          <t>VÄRMLANDS LÄN</t>
        </is>
      </c>
      <c r="E361" t="inlineStr">
        <is>
          <t>STORFORS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8269-2025</t>
        </is>
      </c>
      <c r="B362" s="1" t="n">
        <v>45708</v>
      </c>
      <c r="C362" s="1" t="n">
        <v>45877</v>
      </c>
      <c r="D362" t="inlineStr">
        <is>
          <t>VÄRMLANDS LÄN</t>
        </is>
      </c>
      <c r="E362" t="inlineStr">
        <is>
          <t>STORFORS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8639-2025</t>
        </is>
      </c>
      <c r="B363" s="1" t="n">
        <v>45711</v>
      </c>
      <c r="C363" s="1" t="n">
        <v>45877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8951-2025</t>
        </is>
      </c>
      <c r="B364" s="1" t="n">
        <v>45713</v>
      </c>
      <c r="C364" s="1" t="n">
        <v>45877</v>
      </c>
      <c r="D364" t="inlineStr">
        <is>
          <t>VÄRMLANDS LÄN</t>
        </is>
      </c>
      <c r="E364" t="inlineStr">
        <is>
          <t>STORFORS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11290-2025</t>
        </is>
      </c>
      <c r="B365" s="1" t="n">
        <v>45726</v>
      </c>
      <c r="C365" s="1" t="n">
        <v>45877</v>
      </c>
      <c r="D365" t="inlineStr">
        <is>
          <t>VÄRMLANDS LÄN</t>
        </is>
      </c>
      <c r="E365" t="inlineStr">
        <is>
          <t>STORFORS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45877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45877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45877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12132-2025</t>
        </is>
      </c>
      <c r="B369" s="1" t="n">
        <v>45729</v>
      </c>
      <c r="C369" s="1" t="n">
        <v>45877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24.9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12252-2025</t>
        </is>
      </c>
      <c r="B370" s="1" t="n">
        <v>45729</v>
      </c>
      <c r="C370" s="1" t="n">
        <v>45877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12482-2025</t>
        </is>
      </c>
      <c r="B371" s="1" t="n">
        <v>45730</v>
      </c>
      <c r="C371" s="1" t="n">
        <v>45877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45877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12824-2025</t>
        </is>
      </c>
      <c r="B373" s="1" t="n">
        <v>45733</v>
      </c>
      <c r="C373" s="1" t="n">
        <v>45877</v>
      </c>
      <c r="D373" t="inlineStr">
        <is>
          <t>VÄRMLANDS LÄN</t>
        </is>
      </c>
      <c r="E373" t="inlineStr">
        <is>
          <t>STORFORS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12819-2025</t>
        </is>
      </c>
      <c r="B374" s="1" t="n">
        <v>45733</v>
      </c>
      <c r="C374" s="1" t="n">
        <v>45877</v>
      </c>
      <c r="D374" t="inlineStr">
        <is>
          <t>VÄRMLANDS LÄN</t>
        </is>
      </c>
      <c r="E374" t="inlineStr">
        <is>
          <t>STORFORS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13015-2025</t>
        </is>
      </c>
      <c r="B375" s="1" t="n">
        <v>45734</v>
      </c>
      <c r="C375" s="1" t="n">
        <v>45877</v>
      </c>
      <c r="D375" t="inlineStr">
        <is>
          <t>VÄRMLANDS LÄN</t>
        </is>
      </c>
      <c r="E375" t="inlineStr">
        <is>
          <t>STORFORS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13238-2025</t>
        </is>
      </c>
      <c r="B376" s="1" t="n">
        <v>45735</v>
      </c>
      <c r="C376" s="1" t="n">
        <v>45877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14480-2025</t>
        </is>
      </c>
      <c r="B377" s="1" t="n">
        <v>45741</v>
      </c>
      <c r="C377" s="1" t="n">
        <v>45877</v>
      </c>
      <c r="D377" t="inlineStr">
        <is>
          <t>VÄRMLANDS LÄN</t>
        </is>
      </c>
      <c r="E377" t="inlineStr">
        <is>
          <t>STORFORS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15997-2025</t>
        </is>
      </c>
      <c r="B378" s="1" t="n">
        <v>45749</v>
      </c>
      <c r="C378" s="1" t="n">
        <v>45877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16786-2025</t>
        </is>
      </c>
      <c r="B379" s="1" t="n">
        <v>45754</v>
      </c>
      <c r="C379" s="1" t="n">
        <v>45877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16645-2025</t>
        </is>
      </c>
      <c r="B380" s="1" t="n">
        <v>45754</v>
      </c>
      <c r="C380" s="1" t="n">
        <v>45877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16714-2025</t>
        </is>
      </c>
      <c r="B381" s="1" t="n">
        <v>45754</v>
      </c>
      <c r="C381" s="1" t="n">
        <v>45877</v>
      </c>
      <c r="D381" t="inlineStr">
        <is>
          <t>VÄRMLANDS LÄN</t>
        </is>
      </c>
      <c r="E381" t="inlineStr">
        <is>
          <t>STORFORS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17317-2025</t>
        </is>
      </c>
      <c r="B382" s="1" t="n">
        <v>45756</v>
      </c>
      <c r="C382" s="1" t="n">
        <v>45877</v>
      </c>
      <c r="D382" t="inlineStr">
        <is>
          <t>VÄRMLANDS LÄN</t>
        </is>
      </c>
      <c r="E382" t="inlineStr">
        <is>
          <t>STORFORS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17311-2025</t>
        </is>
      </c>
      <c r="B383" s="1" t="n">
        <v>45756</v>
      </c>
      <c r="C383" s="1" t="n">
        <v>45877</v>
      </c>
      <c r="D383" t="inlineStr">
        <is>
          <t>VÄRMLANDS LÄN</t>
        </is>
      </c>
      <c r="E383" t="inlineStr">
        <is>
          <t>STORFORS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20085-2025</t>
        </is>
      </c>
      <c r="B384" s="1" t="n">
        <v>45772</v>
      </c>
      <c r="C384" s="1" t="n">
        <v>45877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22341-2025</t>
        </is>
      </c>
      <c r="B385" s="1" t="n">
        <v>45786</v>
      </c>
      <c r="C385" s="1" t="n">
        <v>45877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34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24755-2025</t>
        </is>
      </c>
      <c r="B386" s="1" t="n">
        <v>45799</v>
      </c>
      <c r="C386" s="1" t="n">
        <v>45877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24826-2025</t>
        </is>
      </c>
      <c r="B387" s="1" t="n">
        <v>45799</v>
      </c>
      <c r="C387" s="1" t="n">
        <v>45877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45877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45877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24820-2025</t>
        </is>
      </c>
      <c r="B390" s="1" t="n">
        <v>45799</v>
      </c>
      <c r="C390" s="1" t="n">
        <v>45877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25001-2025</t>
        </is>
      </c>
      <c r="B391" s="1" t="n">
        <v>45799</v>
      </c>
      <c r="C391" s="1" t="n">
        <v>45877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45877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25727-2025</t>
        </is>
      </c>
      <c r="B393" s="1" t="n">
        <v>45803</v>
      </c>
      <c r="C393" s="1" t="n">
        <v>45877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25720-2025</t>
        </is>
      </c>
      <c r="B394" s="1" t="n">
        <v>45803</v>
      </c>
      <c r="C394" s="1" t="n">
        <v>45877</v>
      </c>
      <c r="D394" t="inlineStr">
        <is>
          <t>VÄRMLANDS LÄN</t>
        </is>
      </c>
      <c r="E394" t="inlineStr">
        <is>
          <t>STORFORS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25760-2025</t>
        </is>
      </c>
      <c r="B395" s="1" t="n">
        <v>45804</v>
      </c>
      <c r="C395" s="1" t="n">
        <v>45877</v>
      </c>
      <c r="D395" t="inlineStr">
        <is>
          <t>VÄRMLANDS LÄN</t>
        </is>
      </c>
      <c r="E395" t="inlineStr">
        <is>
          <t>STORFORS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27388-2025</t>
        </is>
      </c>
      <c r="B396" s="1" t="n">
        <v>45812</v>
      </c>
      <c r="C396" s="1" t="n">
        <v>45877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28017-2025</t>
        </is>
      </c>
      <c r="B397" s="1" t="n">
        <v>45817</v>
      </c>
      <c r="C397" s="1" t="n">
        <v>45877</v>
      </c>
      <c r="D397" t="inlineStr">
        <is>
          <t>VÄRMLANDS LÄN</t>
        </is>
      </c>
      <c r="E397" t="inlineStr">
        <is>
          <t>STORFORS</t>
        </is>
      </c>
      <c r="F397" t="inlineStr">
        <is>
          <t>Bergvik skog väst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28255-2025</t>
        </is>
      </c>
      <c r="B398" s="1" t="n">
        <v>45818</v>
      </c>
      <c r="C398" s="1" t="n">
        <v>45877</v>
      </c>
      <c r="D398" t="inlineStr">
        <is>
          <t>VÄRMLANDS LÄN</t>
        </is>
      </c>
      <c r="E398" t="inlineStr">
        <is>
          <t>STORFORS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30266-2025</t>
        </is>
      </c>
      <c r="B399" s="1" t="n">
        <v>45827</v>
      </c>
      <c r="C399" s="1" t="n">
        <v>45877</v>
      </c>
      <c r="D399" t="inlineStr">
        <is>
          <t>VÄRMLANDS LÄN</t>
        </is>
      </c>
      <c r="E399" t="inlineStr">
        <is>
          <t>STORFORS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32303-2025</t>
        </is>
      </c>
      <c r="B400" s="1" t="n">
        <v>45835</v>
      </c>
      <c r="C400" s="1" t="n">
        <v>45877</v>
      </c>
      <c r="D400" t="inlineStr">
        <is>
          <t>VÄRMLANDS LÄN</t>
        </is>
      </c>
      <c r="E400" t="inlineStr">
        <is>
          <t>STORFORS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33120-2025</t>
        </is>
      </c>
      <c r="B401" s="1" t="n">
        <v>45840</v>
      </c>
      <c r="C401" s="1" t="n">
        <v>45877</v>
      </c>
      <c r="D401" t="inlineStr">
        <is>
          <t>VÄRMLANDS LÄN</t>
        </is>
      </c>
      <c r="E401" t="inlineStr">
        <is>
          <t>STORFORS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33273-2025</t>
        </is>
      </c>
      <c r="B402" s="1" t="n">
        <v>45840</v>
      </c>
      <c r="C402" s="1" t="n">
        <v>45877</v>
      </c>
      <c r="D402" t="inlineStr">
        <is>
          <t>VÄRMLANDS LÄN</t>
        </is>
      </c>
      <c r="E402" t="inlineStr">
        <is>
          <t>STORFORS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33143-2025</t>
        </is>
      </c>
      <c r="B403" s="1" t="n">
        <v>45840</v>
      </c>
      <c r="C403" s="1" t="n">
        <v>45877</v>
      </c>
      <c r="D403" t="inlineStr">
        <is>
          <t>VÄRMLANDS LÄN</t>
        </is>
      </c>
      <c r="E403" t="inlineStr">
        <is>
          <t>STORFORS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33040-2025</t>
        </is>
      </c>
      <c r="B404" s="1" t="n">
        <v>45840</v>
      </c>
      <c r="C404" s="1" t="n">
        <v>45877</v>
      </c>
      <c r="D404" t="inlineStr">
        <is>
          <t>VÄRMLANDS LÄN</t>
        </is>
      </c>
      <c r="E404" t="inlineStr">
        <is>
          <t>STORFORS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33952-2025</t>
        </is>
      </c>
      <c r="B405" s="1" t="n">
        <v>45842</v>
      </c>
      <c r="C405" s="1" t="n">
        <v>45877</v>
      </c>
      <c r="D405" t="inlineStr">
        <is>
          <t>VÄRMLANDS LÄN</t>
        </is>
      </c>
      <c r="E405" t="inlineStr">
        <is>
          <t>STORFORS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35350-2025</t>
        </is>
      </c>
      <c r="B406" s="1" t="n">
        <v>45854</v>
      </c>
      <c r="C406" s="1" t="n">
        <v>45877</v>
      </c>
      <c r="D406" t="inlineStr">
        <is>
          <t>VÄRMLANDS LÄN</t>
        </is>
      </c>
      <c r="E406" t="inlineStr">
        <is>
          <t>STORFORS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35427-2025</t>
        </is>
      </c>
      <c r="B407" s="1" t="n">
        <v>45855</v>
      </c>
      <c r="C407" s="1" t="n">
        <v>45877</v>
      </c>
      <c r="D407" t="inlineStr">
        <is>
          <t>VÄRMLANDS LÄN</t>
        </is>
      </c>
      <c r="E407" t="inlineStr">
        <is>
          <t>STORFORS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35430-2025</t>
        </is>
      </c>
      <c r="B408" s="1" t="n">
        <v>45855</v>
      </c>
      <c r="C408" s="1" t="n">
        <v>45877</v>
      </c>
      <c r="D408" t="inlineStr">
        <is>
          <t>VÄRMLANDS LÄN</t>
        </is>
      </c>
      <c r="E408" t="inlineStr">
        <is>
          <t>STORFORS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35431-2025</t>
        </is>
      </c>
      <c r="B409" s="1" t="n">
        <v>45855</v>
      </c>
      <c r="C409" s="1" t="n">
        <v>45877</v>
      </c>
      <c r="D409" t="inlineStr">
        <is>
          <t>VÄRMLANDS LÄN</t>
        </is>
      </c>
      <c r="E409" t="inlineStr">
        <is>
          <t>STORFORS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37145-2025</t>
        </is>
      </c>
      <c r="B410" s="1" t="n">
        <v>45875</v>
      </c>
      <c r="C410" s="1" t="n">
        <v>45877</v>
      </c>
      <c r="D410" t="inlineStr">
        <is>
          <t>VÄRMLANDS LÄN</t>
        </is>
      </c>
      <c r="E410" t="inlineStr">
        <is>
          <t>STORFORS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2025-08-09T01:03:53Z</dcterms:created>
  <dcterms:modified xmlns:dcterms="http://purl.org/dc/terms/" xmlns:xsi="http://www.w3.org/2001/XMLSchema-instance" xsi:type="dcterms:W3CDTF">2025-08-09T01:03:53Z</dcterms:modified>
</cp:coreProperties>
</file>