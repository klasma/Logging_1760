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37716-2025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45881</v>
      </c>
      <c r="E3" s="1" t="n">
        <v>46321</v>
      </c>
      <c r="F3" t="inlineStr">
        <is>
          <t>VÄRMLANDS LÄN</t>
        </is>
      </c>
      <c r="G3" t="inlineStr">
        <is>
          <t>STORFORS</t>
        </is>
      </c>
      <c r="I3" t="n">
        <v>4.5</v>
      </c>
      <c r="J3" t="n">
        <v>2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8</v>
      </c>
      <c r="U3" t="n">
        <v>8</v>
      </c>
      <c r="V3" s="2" t="inlineStr">
        <is>
          <t>Kattfotslav
Tretåig hackspett
Ullticka
Spillkråka</t>
        </is>
      </c>
      <c r="W3">
        <f>HYPERLINK("https://klasma.github.io/Logging_1760/artfynd/A 37716-2025 artfynd.xlsx", "A 37716-2025")</f>
        <v/>
      </c>
      <c r="X3">
        <f>HYPERLINK("https://klasma.github.io/Logging_1760/kartor/A 37716-2025 karta.png", "A 37716-2025")</f>
        <v/>
      </c>
      <c r="Y3">
        <f>HYPERLINK("https://klasma.github.io/Logging_1760/kartor_geotiff/A 37716-2025 georefererad karta.tif", "A 37716-2025")</f>
        <v/>
      </c>
      <c r="AA3">
        <f>HYPERLINK("https://klasma.github.io/Logging_1760/klagomål/A 37716-2025 FSC-klagomål.docx", "A 37716-2025")</f>
        <v/>
      </c>
      <c r="AB3">
        <f>HYPERLINK("https://klasma.github.io/Logging_1760/klagomålsmail/A 37716-2025 FSC-klagomål mail.docx", "A 37716-2025")</f>
        <v/>
      </c>
      <c r="AC3">
        <f>HYPERLINK("https://klasma.github.io/Logging_1760/tillsyn/A 37716-2025 tillsynsbegäran.docx", "A 37716-2025")</f>
        <v/>
      </c>
      <c r="AD3">
        <f>HYPERLINK("https://klasma.github.io/Logging_1760/tillsynsmail/A 37716-2025 tillsynsbegäran mail.docx", "A 37716-2025")</f>
        <v/>
      </c>
      <c r="AE3">
        <f>HYPERLINK("https://klasma.github.io/Logging_1760/fåglar/A 37716-2025 prioriterade fågelarter.docx", "A 37716-2025")</f>
        <v/>
      </c>
    </row>
    <row r="4" ht="15" customHeight="1">
      <c r="A4" t="inlineStr">
        <is>
          <t>A 51171-2022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44868</v>
      </c>
      <c r="E4" s="1" t="n">
        <v>46321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0.6</v>
      </c>
      <c r="J4" t="n">
        <v>0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2</v>
      </c>
      <c r="T4" t="n">
        <v>2</v>
      </c>
      <c r="U4" t="n">
        <v>0</v>
      </c>
      <c r="V4" s="2" t="inlineStr">
        <is>
          <t>Brunfläckig pärlemorfjäril
Ängsblåvinge</t>
        </is>
      </c>
      <c r="W4">
        <f>HYPERLINK("https://klasma.github.io/Logging_1760/artfynd/A 51171-2022 artfynd.xlsx", "A 51171-2022")</f>
        <v/>
      </c>
      <c r="X4">
        <f>HYPERLINK("https://klasma.github.io/Logging_1760/kartor/A 51171-2022 karta.png", "A 51171-2022")</f>
        <v/>
      </c>
      <c r="Y4">
        <f>HYPERLINK("https://klasma.github.io/Logging_1760/kartor_geotiff/A 51171-2022 georefererad karta.tif", "A 51171-2022")</f>
        <v/>
      </c>
      <c r="AA4">
        <f>HYPERLINK("https://klasma.github.io/Logging_1760/klagomål/A 51171-2022 FSC-klagomål.docx", "A 51171-2022")</f>
        <v/>
      </c>
      <c r="AB4">
        <f>HYPERLINK("https://klasma.github.io/Logging_1760/klagomålsmail/A 51171-2022 FSC-klagomål mail.docx", "A 51171-2022")</f>
        <v/>
      </c>
      <c r="AC4">
        <f>HYPERLINK("https://klasma.github.io/Logging_1760/tillsyn/A 51171-2022 tillsynsbegäran.docx", "A 51171-2022")</f>
        <v/>
      </c>
      <c r="AD4">
        <f>HYPERLINK("https://klasma.github.io/Logging_1760/tillsynsmail/A 51171-2022 tillsynsbegäran mail.docx", "A 51171-2022")</f>
        <v/>
      </c>
    </row>
    <row r="5" ht="15" customHeight="1">
      <c r="A5" t="inlineStr">
        <is>
          <t>A 31441-2026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46220</v>
      </c>
      <c r="E5" s="1" t="n">
        <v>46321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4.8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Talltita
Gråsiska</t>
        </is>
      </c>
      <c r="W5">
        <f>HYPERLINK("https://klasma.github.io/Logging_1760/artfynd/A 31441-2026 artfynd.xlsx", "A 31441-2026")</f>
        <v/>
      </c>
      <c r="X5">
        <f>HYPERLINK("https://klasma.github.io/Logging_1760/kartor/A 31441-2026 karta.png", "A 31441-2026")</f>
        <v/>
      </c>
      <c r="Y5">
        <f>HYPERLINK("https://klasma.github.io/Logging_1760/kartor_geotiff/A 31441-2026 georefererad karta.tif", "A 31441-2026")</f>
        <v/>
      </c>
      <c r="AA5">
        <f>HYPERLINK("https://klasma.github.io/Logging_1760/klagomål/A 31441-2026 FSC-klagomål.docx", "A 31441-2026")</f>
        <v/>
      </c>
      <c r="AB5">
        <f>HYPERLINK("https://klasma.github.io/Logging_1760/klagomålsmail/A 31441-2026 FSC-klagomål mail.docx", "A 31441-2026")</f>
        <v/>
      </c>
      <c r="AC5">
        <f>HYPERLINK("https://klasma.github.io/Logging_1760/tillsyn/A 31441-2026 tillsynsbegäran.docx", "A 31441-2026")</f>
        <v/>
      </c>
      <c r="AD5">
        <f>HYPERLINK("https://klasma.github.io/Logging_1760/tillsynsmail/A 31441-2026 tillsynsbegäran mail.docx", "A 31441-2026")</f>
        <v/>
      </c>
      <c r="AE5">
        <f>HYPERLINK("https://klasma.github.io/Logging_1760/fåglar/A 31441-2026 prioriterade fågelarter.docx", "A 31441-2026")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46321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46321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13636-2024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45390</v>
      </c>
      <c r="E8" s="1" t="n">
        <v>46321</v>
      </c>
      <c r="F8" t="inlineStr">
        <is>
          <t>VÄRMLANDS LÄN</t>
        </is>
      </c>
      <c r="G8" t="inlineStr">
        <is>
          <t>STORFORS</t>
        </is>
      </c>
      <c r="I8" t="n">
        <v>0.9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2</v>
      </c>
      <c r="V8" s="2" t="inlineStr">
        <is>
          <t>Ullticka</t>
        </is>
      </c>
      <c r="W8">
        <f>HYPERLINK("https://klasma.github.io/Logging_1760/artfynd/A 13636-2024 artfynd.xlsx", "A 13636-2024")</f>
        <v/>
      </c>
      <c r="X8">
        <f>HYPERLINK("https://klasma.github.io/Logging_1760/kartor/A 13636-2024 karta.png", "A 13636-2024")</f>
        <v/>
      </c>
      <c r="Y8">
        <f>HYPERLINK("https://klasma.github.io/Logging_1760/kartor_geotiff/A 13636-2024 georefererad karta.tif", "A 13636-2024")</f>
        <v/>
      </c>
      <c r="AA8">
        <f>HYPERLINK("https://klasma.github.io/Logging_1760/klagomål/A 13636-2024 FSC-klagomål.docx", "A 13636-2024")</f>
        <v/>
      </c>
      <c r="AB8">
        <f>HYPERLINK("https://klasma.github.io/Logging_1760/klagomålsmail/A 13636-2024 FSC-klagomål mail.docx", "A 13636-2024")</f>
        <v/>
      </c>
      <c r="AC8">
        <f>HYPERLINK("https://klasma.github.io/Logging_1760/tillsyn/A 13636-2024 tillsynsbegäran.docx", "A 13636-2024")</f>
        <v/>
      </c>
      <c r="AD8">
        <f>HYPERLINK("https://klasma.github.io/Logging_1760/tillsynsmail/A 13636-2024 tillsynsbegäran mail.docx", "A 13636-2024")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46321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39769-2026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46321</v>
      </c>
      <c r="F10" t="inlineStr">
        <is>
          <t>VÄRMLANDS LÄN</t>
        </is>
      </c>
      <c r="G10" t="inlineStr">
        <is>
          <t>STORFORS</t>
        </is>
      </c>
      <c r="H10" t="inlineStr">
        <is>
          <t>Bergvik skog väst AB</t>
        </is>
      </c>
      <c r="I10" t="n">
        <v>10.9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Igelkott</t>
        </is>
      </c>
      <c r="W10">
        <f>HYPERLINK("https://klasma.github.io/Logging_1760/artfynd/A 39769-2026 artfynd.xlsx", "A 39769-2026")</f>
        <v/>
      </c>
      <c r="X10">
        <f>HYPERLINK("https://klasma.github.io/Logging_1760/kartor/A 39769-2026 karta.png", "A 39769-2026")</f>
        <v/>
      </c>
      <c r="Y10">
        <f>HYPERLINK("https://klasma.github.io/Logging_1760/kartor_geotiff/A 39769-2026 georefererad karta.tif", "A 39769-2026")</f>
        <v/>
      </c>
      <c r="AA10">
        <f>HYPERLINK("https://klasma.github.io/Logging_1760/klagomål/A 39769-2026 FSC-klagomål.docx", "A 39769-2026")</f>
        <v/>
      </c>
      <c r="AB10">
        <f>HYPERLINK("https://klasma.github.io/Logging_1760/klagomålsmail/A 39769-2026 FSC-klagomål mail.docx", "A 39769-2026")</f>
        <v/>
      </c>
      <c r="AC10">
        <f>HYPERLINK("https://klasma.github.io/Logging_1760/tillsyn/A 39769-2026 tillsynsbegäran.docx", "A 39769-2026")</f>
        <v/>
      </c>
      <c r="AD10">
        <f>HYPERLINK("https://klasma.github.io/Logging_1760/tillsynsmail/A 39769-2026 tillsynsbegäran mail.docx", "A 39769-2026")</f>
        <v/>
      </c>
    </row>
    <row r="11" ht="15" customHeight="1">
      <c r="A11" t="inlineStr">
        <is>
          <t>A 46376-2023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46321</v>
      </c>
      <c r="F11" t="inlineStr">
        <is>
          <t>VÄRMLANDS LÄN</t>
        </is>
      </c>
      <c r="G11" t="inlineStr">
        <is>
          <t>STORFORS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HYPERLINK("https://klasma.github.io/Logging_1760/artfynd/A 46376-2023 artfynd.xlsx", "A 46376-2023")</f>
        <v/>
      </c>
      <c r="X11">
        <f>HYPERLINK("https://klasma.github.io/Logging_1760/kartor/A 46376-2023 karta.png", "A 46376-2023")</f>
        <v/>
      </c>
      <c r="Y11">
        <f>HYPERLINK("https://klasma.github.io/Logging_1760/kartor_geotiff/A 46376-2023 georefererad karta.tif", "A 46376-2023")</f>
        <v/>
      </c>
      <c r="AA11">
        <f>HYPERLINK("https://klasma.github.io/Logging_1760/klagomål/A 46376-2023 FSC-klagomål.docx", "A 46376-2023")</f>
        <v/>
      </c>
      <c r="AB11">
        <f>HYPERLINK("https://klasma.github.io/Logging_1760/klagomålsmail/A 46376-2023 FSC-klagomål mail.docx", "A 46376-2023")</f>
        <v/>
      </c>
      <c r="AC11">
        <f>HYPERLINK("https://klasma.github.io/Logging_1760/tillsyn/A 46376-2023 tillsynsbegäran.docx", "A 46376-2023")</f>
        <v/>
      </c>
      <c r="AD11">
        <f>HYPERLINK("https://klasma.github.io/Logging_1760/tillsynsmail/A 46376-2023 tillsynsbegäran mail.docx", "A 46376-2023")</f>
        <v/>
      </c>
    </row>
    <row r="12" ht="15" customHeight="1">
      <c r="A12" t="inlineStr">
        <is>
          <t>A 35089-2022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46321</v>
      </c>
      <c r="F12" t="inlineStr">
        <is>
          <t>VÄRMLANDS LÄN</t>
        </is>
      </c>
      <c r="G12" t="inlineStr">
        <is>
          <t>STORFORS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64815-2021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46321</v>
      </c>
      <c r="F13" t="inlineStr">
        <is>
          <t>VÄRMLANDS LÄN</t>
        </is>
      </c>
      <c r="G13" t="inlineStr">
        <is>
          <t>STORFORS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35084-2022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44797</v>
      </c>
      <c r="E14" s="1" t="n">
        <v>46321</v>
      </c>
      <c r="F14" t="inlineStr">
        <is>
          <t>VÄRMLANDS LÄN</t>
        </is>
      </c>
      <c r="G14" t="inlineStr">
        <is>
          <t>STORFORS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33307-2022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44788</v>
      </c>
      <c r="E15" s="1" t="n">
        <v>46321</v>
      </c>
      <c r="F15" t="inlineStr">
        <is>
          <t>VÄRMLANDS LÄN</t>
        </is>
      </c>
      <c r="G15" t="inlineStr">
        <is>
          <t>STORFORS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46321</v>
      </c>
      <c r="F16" t="inlineStr">
        <is>
          <t>VÄRMLANDS LÄN</t>
        </is>
      </c>
      <c r="G16" t="inlineStr">
        <is>
          <t>STORFORS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46321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46321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46321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45680</v>
      </c>
      <c r="E20" s="1" t="n">
        <v>46321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45329</v>
      </c>
      <c r="E21" s="1" t="n">
        <v>46321</v>
      </c>
      <c r="F21" t="inlineStr">
        <is>
          <t>VÄRMLANDS LÄN</t>
        </is>
      </c>
      <c r="G21" t="inlineStr">
        <is>
          <t>STORFORS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46321</v>
      </c>
      <c r="F22" t="inlineStr">
        <is>
          <t>VÄRMLANDS LÄN</t>
        </is>
      </c>
      <c r="G22" t="inlineStr">
        <is>
          <t>STORFORS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46321</v>
      </c>
      <c r="F23" t="inlineStr">
        <is>
          <t>VÄRMLANDS LÄN</t>
        </is>
      </c>
      <c r="G23" t="inlineStr">
        <is>
          <t>STORFORS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45007</v>
      </c>
      <c r="E24" s="1" t="n">
        <v>46321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46321</v>
      </c>
      <c r="F25" t="inlineStr">
        <is>
          <t>VÄRMLANDS LÄN</t>
        </is>
      </c>
      <c r="G25" t="inlineStr">
        <is>
          <t>STORFORS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24406-2026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46169</v>
      </c>
      <c r="E26" s="1" t="n">
        <v>46321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46321</v>
      </c>
      <c r="F27" t="inlineStr">
        <is>
          <t>VÄRMLANDS LÄN</t>
        </is>
      </c>
      <c r="G27" t="inlineStr">
        <is>
          <t>STORFORS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44900</v>
      </c>
      <c r="E28" s="1" t="n">
        <v>46321</v>
      </c>
      <c r="F28" t="inlineStr">
        <is>
          <t>VÄRMLANDS LÄN</t>
        </is>
      </c>
      <c r="G28" t="inlineStr">
        <is>
          <t>STORFORS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46321</v>
      </c>
      <c r="F29" t="inlineStr">
        <is>
          <t>VÄRMLANDS LÄN</t>
        </is>
      </c>
      <c r="G29" t="inlineStr">
        <is>
          <t>STORFORS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46321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46321</v>
      </c>
      <c r="F31" t="inlineStr">
        <is>
          <t>VÄRMLANDS LÄN</t>
        </is>
      </c>
      <c r="G31" t="inlineStr">
        <is>
          <t>STORFORS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46321</v>
      </c>
      <c r="F32" t="inlineStr">
        <is>
          <t>VÄRMLANDS LÄN</t>
        </is>
      </c>
      <c r="G32" t="inlineStr">
        <is>
          <t>STORFORS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52922-2025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46321</v>
      </c>
      <c r="F33" t="inlineStr">
        <is>
          <t>VÄRMLANDS LÄN</t>
        </is>
      </c>
      <c r="G33" t="inlineStr">
        <is>
          <t>STORFORS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45961</v>
      </c>
      <c r="E34" s="1" t="n">
        <v>46321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46321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46321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46321</v>
      </c>
      <c r="F37" t="inlineStr">
        <is>
          <t>VÄRMLANDS LÄN</t>
        </is>
      </c>
      <c r="G37" t="inlineStr">
        <is>
          <t>STORFORS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46196</v>
      </c>
      <c r="E38" s="1" t="n">
        <v>46321</v>
      </c>
      <c r="F38" t="inlineStr">
        <is>
          <t>VÄRMLANDS LÄN</t>
        </is>
      </c>
      <c r="G38" t="inlineStr">
        <is>
          <t>STORFORS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46321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46321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29444-2026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46321</v>
      </c>
      <c r="F41" t="inlineStr">
        <is>
          <t>VÄRMLANDS LÄN</t>
        </is>
      </c>
      <c r="G41" t="inlineStr">
        <is>
          <t>STORFORS</t>
        </is>
      </c>
      <c r="H41" t="inlineStr">
        <is>
          <t>Naturvårdsverket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46321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51.6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46321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29426-2026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46203</v>
      </c>
      <c r="E44" s="1" t="n">
        <v>46321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46321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30425-2026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46209</v>
      </c>
      <c r="E46" s="1" t="n">
        <v>46321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28979-2026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46199</v>
      </c>
      <c r="E47" s="1" t="n">
        <v>46321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45995</v>
      </c>
      <c r="E48" s="1" t="n">
        <v>46321</v>
      </c>
      <c r="F48" t="inlineStr">
        <is>
          <t>VÄRMLANDS LÄN</t>
        </is>
      </c>
      <c r="G48" t="inlineStr">
        <is>
          <t>STORFORS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45593</v>
      </c>
      <c r="E49" s="1" t="n">
        <v>46321</v>
      </c>
      <c r="F49" t="inlineStr">
        <is>
          <t>VÄRMLANDS LÄN</t>
        </is>
      </c>
      <c r="G49" t="inlineStr">
        <is>
          <t>STORFORS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46321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46321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46000</v>
      </c>
      <c r="E52" s="1" t="n">
        <v>46321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46321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46321</v>
      </c>
      <c r="F54" t="inlineStr">
        <is>
          <t>VÄRMLANDS LÄN</t>
        </is>
      </c>
      <c r="G54" t="inlineStr">
        <is>
          <t>STORFORS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46321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46321</v>
      </c>
      <c r="F56" t="inlineStr">
        <is>
          <t>VÄRMLANDS LÄN</t>
        </is>
      </c>
      <c r="G56" t="inlineStr">
        <is>
          <t>STORFORS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46321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63080-2025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46321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45915</v>
      </c>
      <c r="E59" s="1" t="n">
        <v>46321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46321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9.9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46321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35.1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46321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45396</v>
      </c>
      <c r="E64" s="1" t="n">
        <v>46321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9.6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45660</v>
      </c>
      <c r="E65" s="1" t="n">
        <v>46321</v>
      </c>
      <c r="F65" t="inlineStr">
        <is>
          <t>VÄRMLANDS LÄN</t>
        </is>
      </c>
      <c r="G65" t="inlineStr">
        <is>
          <t>STORFORS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46321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46321</v>
      </c>
      <c r="F67" t="inlineStr">
        <is>
          <t>VÄRMLANDS LÄN</t>
        </is>
      </c>
      <c r="G67" t="inlineStr">
        <is>
          <t>STORFORS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46321</v>
      </c>
      <c r="F68" t="inlineStr">
        <is>
          <t>VÄRMLANDS LÄN</t>
        </is>
      </c>
      <c r="G68" t="inlineStr">
        <is>
          <t>STORFORS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46321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46321</v>
      </c>
      <c r="F70" t="inlineStr">
        <is>
          <t>VÄRMLANDS LÄN</t>
        </is>
      </c>
      <c r="G70" t="inlineStr">
        <is>
          <t>STORFORS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46321</v>
      </c>
      <c r="F71" t="inlineStr">
        <is>
          <t>VÄRMLANDS LÄN</t>
        </is>
      </c>
      <c r="G71" t="inlineStr">
        <is>
          <t>STORFORS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46289</v>
      </c>
      <c r="E72" s="1" t="n">
        <v>46321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28.9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46290</v>
      </c>
      <c r="E73" s="1" t="n">
        <v>46321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46321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46321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46321</v>
      </c>
      <c r="F76" t="inlineStr">
        <is>
          <t>VÄRMLANDS LÄN</t>
        </is>
      </c>
      <c r="G76" t="inlineStr">
        <is>
          <t>STORFORS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46321</v>
      </c>
      <c r="F77" t="inlineStr">
        <is>
          <t>VÄRMLANDS LÄN</t>
        </is>
      </c>
      <c r="G77" t="inlineStr">
        <is>
          <t>STORFORS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46293</v>
      </c>
      <c r="E78" s="1" t="n">
        <v>46321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46293</v>
      </c>
      <c r="E79" s="1" t="n">
        <v>46321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46293</v>
      </c>
      <c r="E80" s="1" t="n">
        <v>46321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46321</v>
      </c>
      <c r="F81" t="inlineStr">
        <is>
          <t>VÄRMLANDS LÄN</t>
        </is>
      </c>
      <c r="G81" t="inlineStr">
        <is>
          <t>STORFORS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40058-2026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46293</v>
      </c>
      <c r="E82" s="1" t="n">
        <v>46321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46255</v>
      </c>
      <c r="E83" s="1" t="n">
        <v>46321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46321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46300</v>
      </c>
      <c r="E85" s="1" t="n">
        <v>46321</v>
      </c>
      <c r="F85" t="inlineStr">
        <is>
          <t>VÄRMLANDS LÄN</t>
        </is>
      </c>
      <c r="G85" t="inlineStr">
        <is>
          <t>STORFORS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46321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46321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46321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46321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46321</v>
      </c>
      <c r="F90" t="inlineStr">
        <is>
          <t>VÄRMLANDS LÄN</t>
        </is>
      </c>
      <c r="G90" t="inlineStr">
        <is>
          <t>STORFORS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46321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46321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46321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46304</v>
      </c>
      <c r="E94" s="1" t="n">
        <v>46321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30.2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46321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46261</v>
      </c>
      <c r="E96" s="1" t="n">
        <v>46321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46321</v>
      </c>
      <c r="F97" t="inlineStr">
        <is>
          <t>VÄRMLANDS LÄN</t>
        </is>
      </c>
      <c r="G97" t="inlineStr">
        <is>
          <t>STORFORS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46321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46321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44939</v>
      </c>
      <c r="E100" s="1" t="n">
        <v>46321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46265</v>
      </c>
      <c r="E101" s="1" t="n">
        <v>46321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46321</v>
      </c>
      <c r="F102" t="inlineStr">
        <is>
          <t>VÄRMLANDS LÄN</t>
        </is>
      </c>
      <c r="G102" t="inlineStr">
        <is>
          <t>STORFORS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46321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46321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46321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46321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46268</v>
      </c>
      <c r="E107" s="1" t="n">
        <v>46321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46321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46268</v>
      </c>
      <c r="E109" s="1" t="n">
        <v>46321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45232</v>
      </c>
      <c r="E110" s="1" t="n">
        <v>46321</v>
      </c>
      <c r="F110" t="inlineStr">
        <is>
          <t>VÄRMLANDS LÄN</t>
        </is>
      </c>
      <c r="G110" t="inlineStr">
        <is>
          <t>STORFORS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46321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46321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46321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46321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46321</v>
      </c>
      <c r="F115" t="inlineStr">
        <is>
          <t>VÄRMLANDS LÄN</t>
        </is>
      </c>
      <c r="G115" t="inlineStr">
        <is>
          <t>STORFORS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46317</v>
      </c>
      <c r="E116" s="1" t="n">
        <v>46321</v>
      </c>
      <c r="F116" t="inlineStr">
        <is>
          <t>VÄRMLANDS LÄN</t>
        </is>
      </c>
      <c r="G116" t="inlineStr">
        <is>
          <t>STORFORS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46321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47713-2024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45588</v>
      </c>
      <c r="E118" s="1" t="n">
        <v>46321</v>
      </c>
      <c r="F118" t="inlineStr">
        <is>
          <t>VÄRMLANDS LÄN</t>
        </is>
      </c>
      <c r="G118" t="inlineStr">
        <is>
          <t>STORFORS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46321</v>
      </c>
      <c r="F119" t="inlineStr">
        <is>
          <t>VÄRMLANDS LÄN</t>
        </is>
      </c>
      <c r="G119" t="inlineStr">
        <is>
          <t>STORFORS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46321</v>
      </c>
      <c r="F120" t="inlineStr">
        <is>
          <t>VÄRMLANDS LÄN</t>
        </is>
      </c>
      <c r="G120" t="inlineStr">
        <is>
          <t>STORFORS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46321</v>
      </c>
      <c r="F121" t="inlineStr">
        <is>
          <t>VÄRMLANDS LÄN</t>
        </is>
      </c>
      <c r="G121" t="inlineStr">
        <is>
          <t>STORFORS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46321</v>
      </c>
      <c r="F122" t="inlineStr">
        <is>
          <t>VÄRMLANDS LÄN</t>
        </is>
      </c>
      <c r="G122" t="inlineStr">
        <is>
          <t>STORFORS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46321</v>
      </c>
      <c r="F123" t="inlineStr">
        <is>
          <t>VÄRMLANDS LÄN</t>
        </is>
      </c>
      <c r="G123" t="inlineStr">
        <is>
          <t>STORFORS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45711</v>
      </c>
      <c r="E124" s="1" t="n">
        <v>46321</v>
      </c>
      <c r="F124" t="inlineStr">
        <is>
          <t>VÄRMLANDS LÄN</t>
        </is>
      </c>
      <c r="G124" t="inlineStr">
        <is>
          <t>STORFORS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46321</v>
      </c>
      <c r="F125" t="inlineStr">
        <is>
          <t>VÄRMLANDS LÄN</t>
        </is>
      </c>
      <c r="G125" t="inlineStr">
        <is>
          <t>STORFORS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46321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61586-2025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46002</v>
      </c>
      <c r="E127" s="1" t="n">
        <v>46321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44747</v>
      </c>
      <c r="E128" s="1" t="n">
        <v>46321</v>
      </c>
      <c r="F128" t="inlineStr">
        <is>
          <t>VÄRMLANDS LÄN</t>
        </is>
      </c>
      <c r="G128" t="inlineStr">
        <is>
          <t>STORFORS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46321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46321</v>
      </c>
      <c r="F130" t="inlineStr">
        <is>
          <t>VÄRMLANDS LÄN</t>
        </is>
      </c>
      <c r="G130" t="inlineStr">
        <is>
          <t>STORFORS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46321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46321</v>
      </c>
      <c r="F132" t="inlineStr">
        <is>
          <t>VÄRMLANDS LÄN</t>
        </is>
      </c>
      <c r="G132" t="inlineStr">
        <is>
          <t>STORFORS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46321</v>
      </c>
      <c r="F133" t="inlineStr">
        <is>
          <t>VÄRMLANDS LÄN</t>
        </is>
      </c>
      <c r="G133" t="inlineStr">
        <is>
          <t>STORFORS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45669</v>
      </c>
      <c r="E134" s="1" t="n">
        <v>46321</v>
      </c>
      <c r="F134" t="inlineStr">
        <is>
          <t>VÄRMLANDS LÄN</t>
        </is>
      </c>
      <c r="G134" t="inlineStr">
        <is>
          <t>STORFORS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46321</v>
      </c>
      <c r="F135" t="inlineStr">
        <is>
          <t>VÄRMLANDS LÄN</t>
        </is>
      </c>
      <c r="G135" t="inlineStr">
        <is>
          <t>STORFORS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46321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46321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45104</v>
      </c>
      <c r="E138" s="1" t="n">
        <v>46321</v>
      </c>
      <c r="F138" t="inlineStr">
        <is>
          <t>VÄRMLANDS LÄN</t>
        </is>
      </c>
      <c r="G138" t="inlineStr">
        <is>
          <t>STORFORS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46321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46321</v>
      </c>
      <c r="F140" t="inlineStr">
        <is>
          <t>VÄRMLANDS LÄN</t>
        </is>
      </c>
      <c r="G140" t="inlineStr">
        <is>
          <t>STORFORS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46321</v>
      </c>
      <c r="F141" t="inlineStr">
        <is>
          <t>VÄRMLANDS LÄN</t>
        </is>
      </c>
      <c r="G141" t="inlineStr">
        <is>
          <t>STORFORS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46321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46321</v>
      </c>
      <c r="F143" t="inlineStr">
        <is>
          <t>VÄRMLANDS LÄN</t>
        </is>
      </c>
      <c r="G143" t="inlineStr">
        <is>
          <t>STORFORS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46321</v>
      </c>
      <c r="F144" t="inlineStr">
        <is>
          <t>VÄRMLANDS LÄN</t>
        </is>
      </c>
      <c r="G144" t="inlineStr">
        <is>
          <t>STORFORS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46321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46321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46321</v>
      </c>
      <c r="F147" t="inlineStr">
        <is>
          <t>VÄRMLANDS LÄN</t>
        </is>
      </c>
      <c r="G147" t="inlineStr">
        <is>
          <t>STORFORS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46321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46321</v>
      </c>
      <c r="F149" t="inlineStr">
        <is>
          <t>VÄRMLANDS LÄN</t>
        </is>
      </c>
      <c r="G149" t="inlineStr">
        <is>
          <t>STORFORS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46321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46321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53202-2023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45229</v>
      </c>
      <c r="E152" s="1" t="n">
        <v>46321</v>
      </c>
      <c r="F152" t="inlineStr">
        <is>
          <t>VÄRMLANDS LÄN</t>
        </is>
      </c>
      <c r="G152" t="inlineStr">
        <is>
          <t>STORFORS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46321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46321</v>
      </c>
      <c r="F154" t="inlineStr">
        <is>
          <t>VÄRMLANDS LÄN</t>
        </is>
      </c>
      <c r="G154" t="inlineStr">
        <is>
          <t>STORFORS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46321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46321</v>
      </c>
      <c r="F156" t="inlineStr">
        <is>
          <t>VÄRMLANDS LÄN</t>
        </is>
      </c>
      <c r="G156" t="inlineStr">
        <is>
          <t>STORFORS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46321</v>
      </c>
      <c r="F157" t="inlineStr">
        <is>
          <t>VÄRMLANDS LÄN</t>
        </is>
      </c>
      <c r="G157" t="inlineStr">
        <is>
          <t>STORFORS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44969</v>
      </c>
      <c r="E158" s="1" t="n">
        <v>46321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46321</v>
      </c>
      <c r="F159" t="inlineStr">
        <is>
          <t>VÄRMLANDS LÄN</t>
        </is>
      </c>
      <c r="G159" t="inlineStr">
        <is>
          <t>STORFORS</t>
        </is>
      </c>
      <c r="H159" t="inlineStr">
        <is>
          <t>Naturvårdsverket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46321</v>
      </c>
      <c r="F160" t="inlineStr">
        <is>
          <t>VÄRMLANDS LÄN</t>
        </is>
      </c>
      <c r="G160" t="inlineStr">
        <is>
          <t>STORFORS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46321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46321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46321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46321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46321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2026-10-26T03:05:32Z</dcterms:created>
  <dcterms:modified xmlns:dcterms="http://purl.org/dc/terms/" xmlns:xsi="http://www.w3.org/2001/XMLSchema-instance" xsi:type="dcterms:W3CDTF">2026-10-26T03:05:32Z</dcterms:modified>
</cp:coreProperties>
</file>