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46217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46217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46217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46217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Igelkott</t>
        </is>
      </c>
      <c r="V5">
        <f>HYPERLINK("https://klasma.github.io/Logging_1760/artfynd/A 46376-2023 artfynd.xlsx", "A 46376-2023")</f>
        <v/>
      </c>
      <c r="W5">
        <f>HYPERLINK("https://klasma.github.io/Logging_1760/kartor/A 46376-2023 karta.png", "A 46376-2023")</f>
        <v/>
      </c>
      <c r="Y5">
        <f>HYPERLINK("https://klasma.github.io/Logging_1760/klagomål/A 46376-2023 FSC-klagomål.docx", "A 46376-2023")</f>
        <v/>
      </c>
      <c r="Z5">
        <f>HYPERLINK("https://klasma.github.io/Logging_1760/klagomålsmail/A 46376-2023 FSC-klagomål mail.docx", "A 46376-2023")</f>
        <v/>
      </c>
      <c r="AA5">
        <f>HYPERLINK("https://klasma.github.io/Logging_1760/tillsyn/A 46376-2023 tillsynsbegäran.docx", "A 46376-2023")</f>
        <v/>
      </c>
      <c r="AB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46217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Knölspindel</t>
        </is>
      </c>
      <c r="V6">
        <f>HYPERLINK("https://klasma.github.io/Logging_1760/artfynd/A 57209-2022 artfynd.xlsx", "A 57209-2022")</f>
        <v/>
      </c>
      <c r="W6">
        <f>HYPERLINK("https://klasma.github.io/Logging_1760/kartor/A 57209-2022 karta.png", "A 57209-2022")</f>
        <v/>
      </c>
      <c r="Y6">
        <f>HYPERLINK("https://klasma.github.io/Logging_1760/klagomål/A 57209-2022 FSC-klagomål.docx", "A 57209-2022")</f>
        <v/>
      </c>
      <c r="Z6">
        <f>HYPERLINK("https://klasma.github.io/Logging_1760/klagomålsmail/A 57209-2022 FSC-klagomål mail.docx", "A 57209-2022")</f>
        <v/>
      </c>
      <c r="AA6">
        <f>HYPERLINK("https://klasma.github.io/Logging_1760/tillsyn/A 57209-2022 tillsynsbegäran.docx", "A 57209-2022")</f>
        <v/>
      </c>
      <c r="AB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46217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Y7">
        <f>HYPERLINK("https://klasma.github.io/Logging_1760/klagomål/A 21111-2025 FSC-klagomål.docx", "A 21111-2025")</f>
        <v/>
      </c>
      <c r="Z7">
        <f>HYPERLINK("https://klasma.github.io/Logging_1760/klagomålsmail/A 21111-2025 FSC-klagomål mail.docx", "A 21111-2025")</f>
        <v/>
      </c>
      <c r="AA7">
        <f>HYPERLINK("https://klasma.github.io/Logging_1760/tillsyn/A 21111-2025 tillsynsbegäran.docx", "A 21111-2025")</f>
        <v/>
      </c>
      <c r="AB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46217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46217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46217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46217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46217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46217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46217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46217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46217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46217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46217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4744-2025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45688</v>
      </c>
      <c r="E20" s="1" t="n">
        <v>46217</v>
      </c>
      <c r="F20" t="inlineStr">
        <is>
          <t>VÄRMLANDS LÄN</t>
        </is>
      </c>
      <c r="G20" t="inlineStr">
        <is>
          <t>STORFORS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48591-2024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45593</v>
      </c>
      <c r="E21" s="1" t="n">
        <v>46217</v>
      </c>
      <c r="F21" t="inlineStr">
        <is>
          <t>VÄRMLANDS LÄN</t>
        </is>
      </c>
      <c r="G21" t="inlineStr">
        <is>
          <t>STORFORS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33806-2024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45520</v>
      </c>
      <c r="E22" s="1" t="n">
        <v>46217</v>
      </c>
      <c r="F22" t="inlineStr">
        <is>
          <t>VÄRMLANDS LÄN</t>
        </is>
      </c>
      <c r="G22" t="inlineStr">
        <is>
          <t>STORFORS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48309-2021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44450</v>
      </c>
      <c r="E23" s="1" t="n">
        <v>46217</v>
      </c>
      <c r="F23" t="inlineStr">
        <is>
          <t>VÄRMLANDS LÄN</t>
        </is>
      </c>
      <c r="G23" t="inlineStr">
        <is>
          <t>STORFORS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46217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1840-2023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46217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46217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46217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46217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54190-2023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46217</v>
      </c>
      <c r="F29" t="inlineStr">
        <is>
          <t>VÄRMLANDS LÄN</t>
        </is>
      </c>
      <c r="G29" t="inlineStr">
        <is>
          <t>STORFORS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47713-2024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45588</v>
      </c>
      <c r="E30" s="1" t="n">
        <v>46217</v>
      </c>
      <c r="F30" t="inlineStr">
        <is>
          <t>VÄRMLANDS LÄN</t>
        </is>
      </c>
      <c r="G30" t="inlineStr">
        <is>
          <t>STORFORS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47732-2024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46217</v>
      </c>
      <c r="F31" t="inlineStr">
        <is>
          <t>VÄRMLANDS LÄN</t>
        </is>
      </c>
      <c r="G31" t="inlineStr">
        <is>
          <t>STORFORS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53388-2024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45614</v>
      </c>
      <c r="E32" s="1" t="n">
        <v>46217</v>
      </c>
      <c r="F32" t="inlineStr">
        <is>
          <t>VÄRMLANDS LÄN</t>
        </is>
      </c>
      <c r="G32" t="inlineStr">
        <is>
          <t>STORFORS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46217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39998-2023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46217</v>
      </c>
      <c r="F34" t="inlineStr">
        <is>
          <t>VÄRMLANDS LÄN</t>
        </is>
      </c>
      <c r="G34" t="inlineStr">
        <is>
          <t>STORFORS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33273-2025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46217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46217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8639-2025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45711</v>
      </c>
      <c r="E37" s="1" t="n">
        <v>46217</v>
      </c>
      <c r="F37" t="inlineStr">
        <is>
          <t>VÄRMLANDS LÄN</t>
        </is>
      </c>
      <c r="G37" t="inlineStr">
        <is>
          <t>STORFORS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45881</v>
      </c>
      <c r="E38" s="1" t="n">
        <v>46217</v>
      </c>
      <c r="F38" t="inlineStr">
        <is>
          <t>VÄRMLANDS LÄN</t>
        </is>
      </c>
      <c r="G38" t="inlineStr">
        <is>
          <t>STORFORS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3452-2025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46217</v>
      </c>
      <c r="F39" t="inlineStr">
        <is>
          <t>VÄRMLANDS LÄN</t>
        </is>
      </c>
      <c r="G39" t="inlineStr">
        <is>
          <t>STORFORS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46217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28466-2022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46217</v>
      </c>
      <c r="F41" t="inlineStr">
        <is>
          <t>VÄRMLANDS LÄN</t>
        </is>
      </c>
      <c r="G41" t="inlineStr">
        <is>
          <t>STORFORS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46217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44930</v>
      </c>
      <c r="E43" s="1" t="n">
        <v>46217</v>
      </c>
      <c r="F43" t="inlineStr">
        <is>
          <t>VÄRMLANDS LÄN</t>
        </is>
      </c>
      <c r="G43" t="inlineStr">
        <is>
          <t>STORFORS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47894-2023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45204</v>
      </c>
      <c r="E44" s="1" t="n">
        <v>46217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46217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52834-2023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46217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20527-2026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46217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46612-2025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46217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20449-2026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46217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20311-2026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46139</v>
      </c>
      <c r="E50" s="1" t="n">
        <v>46217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20453-2026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46217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20465-2026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46217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52905-2025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46217</v>
      </c>
      <c r="F53" t="inlineStr">
        <is>
          <t>VÄRMLANDS LÄN</t>
        </is>
      </c>
      <c r="G53" t="inlineStr">
        <is>
          <t>STORFORS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45028</v>
      </c>
      <c r="E54" s="1" t="n">
        <v>46217</v>
      </c>
      <c r="F54" t="inlineStr">
        <is>
          <t>VÄRMLANDS LÄN</t>
        </is>
      </c>
      <c r="G54" t="inlineStr">
        <is>
          <t>STORFORS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47728-2023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46217</v>
      </c>
      <c r="F55" t="inlineStr">
        <is>
          <t>VÄRMLANDS LÄN</t>
        </is>
      </c>
      <c r="G55" t="inlineStr">
        <is>
          <t>STORFORS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20543-2026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46140</v>
      </c>
      <c r="E56" s="1" t="n">
        <v>46217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13288-2024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46217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46217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45961</v>
      </c>
      <c r="E59" s="1" t="n">
        <v>46217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45669</v>
      </c>
      <c r="E60" s="1" t="n">
        <v>46217</v>
      </c>
      <c r="F60" t="inlineStr">
        <is>
          <t>VÄRMLANDS LÄN</t>
        </is>
      </c>
      <c r="G60" t="inlineStr">
        <is>
          <t>STORFORS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26067-2026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46217</v>
      </c>
      <c r="F61" t="inlineStr">
        <is>
          <t>VÄRMLANDS LÄN</t>
        </is>
      </c>
      <c r="G61" t="inlineStr">
        <is>
          <t>STORFORS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46217</v>
      </c>
      <c r="F62" t="inlineStr">
        <is>
          <t>VÄRMLANDS LÄN</t>
        </is>
      </c>
      <c r="G62" t="inlineStr">
        <is>
          <t>STORFORS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55234-2025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46217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26075-2026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46217</v>
      </c>
      <c r="F64" t="inlineStr">
        <is>
          <t>VÄRMLANDS LÄN</t>
        </is>
      </c>
      <c r="G64" t="inlineStr">
        <is>
          <t>STORFORS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46217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46217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20749-2026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46217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30587-2023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46217</v>
      </c>
      <c r="F68" t="inlineStr">
        <is>
          <t>VÄRMLANDS LÄN</t>
        </is>
      </c>
      <c r="G68" t="inlineStr">
        <is>
          <t>STORFORS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21035-2026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46217</v>
      </c>
      <c r="F69" t="inlineStr">
        <is>
          <t>VÄRMLANDS LÄN</t>
        </is>
      </c>
      <c r="G69" t="inlineStr">
        <is>
          <t>STORFORS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28148-2026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46217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23.6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60511-2025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45995</v>
      </c>
      <c r="E71" s="1" t="n">
        <v>46217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46217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70761-2021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46217</v>
      </c>
      <c r="F73" t="inlineStr">
        <is>
          <t>VÄRMLANDS LÄN</t>
        </is>
      </c>
      <c r="G73" t="inlineStr">
        <is>
          <t>STORFORS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61149-2025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46217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28218-2026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46196</v>
      </c>
      <c r="E75" s="1" t="n">
        <v>46217</v>
      </c>
      <c r="F75" t="inlineStr">
        <is>
          <t>VÄRMLANDS LÄN</t>
        </is>
      </c>
      <c r="G75" t="inlineStr">
        <is>
          <t>STORFORS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36697-2023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45153</v>
      </c>
      <c r="E76" s="1" t="n">
        <v>46217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29002-2023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45104</v>
      </c>
      <c r="E77" s="1" t="n">
        <v>46217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58586-2024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45635</v>
      </c>
      <c r="E78" s="1" t="n">
        <v>46217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46217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21929-2023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46217</v>
      </c>
      <c r="F80" t="inlineStr">
        <is>
          <t>VÄRMLANDS LÄN</t>
        </is>
      </c>
      <c r="G80" t="inlineStr">
        <is>
          <t>STORFORS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15442-2024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46217</v>
      </c>
      <c r="F81" t="inlineStr">
        <is>
          <t>VÄRMLANDS LÄN</t>
        </is>
      </c>
      <c r="G81" t="inlineStr">
        <is>
          <t>STORFORS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62987-2025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46217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63080-2025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46217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44178-2025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45915</v>
      </c>
      <c r="E84" s="1" t="n">
        <v>46217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59146-2025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46217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46217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46217</v>
      </c>
      <c r="F87" t="inlineStr">
        <is>
          <t>VÄRMLANDS LÄN</t>
        </is>
      </c>
      <c r="G87" t="inlineStr">
        <is>
          <t>STORFORS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58451-2025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46217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61586-2025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46002</v>
      </c>
      <c r="E89" s="1" t="n">
        <v>46217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46217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46217</v>
      </c>
      <c r="F91" t="inlineStr">
        <is>
          <t>VÄRMLANDS LÄN</t>
        </is>
      </c>
      <c r="G91" t="inlineStr">
        <is>
          <t>STORFORS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22935-2023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45072</v>
      </c>
      <c r="E92" s="1" t="n">
        <v>46217</v>
      </c>
      <c r="F92" t="inlineStr">
        <is>
          <t>VÄRMLANDS LÄN</t>
        </is>
      </c>
      <c r="G92" t="inlineStr">
        <is>
          <t>STORFORS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53353-2024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46217</v>
      </c>
      <c r="F93" t="inlineStr">
        <is>
          <t>VÄRMLANDS LÄN</t>
        </is>
      </c>
      <c r="G93" t="inlineStr">
        <is>
          <t>STORFORS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46217</v>
      </c>
      <c r="F94" t="inlineStr">
        <is>
          <t>VÄRMLANDS LÄN</t>
        </is>
      </c>
      <c r="G94" t="inlineStr">
        <is>
          <t>STORFORS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46217</v>
      </c>
      <c r="F95" t="inlineStr">
        <is>
          <t>VÄRMLANDS LÄN</t>
        </is>
      </c>
      <c r="G95" t="inlineStr">
        <is>
          <t>STORFORS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28979-2026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46199</v>
      </c>
      <c r="E96" s="1" t="n">
        <v>46217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46217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46217</v>
      </c>
      <c r="F98" t="inlineStr">
        <is>
          <t>VÄRMLANDS LÄN</t>
        </is>
      </c>
      <c r="G98" t="inlineStr">
        <is>
          <t>STORFORS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7444-2026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46217</v>
      </c>
      <c r="F99" t="inlineStr">
        <is>
          <t>VÄRMLANDS LÄN</t>
        </is>
      </c>
      <c r="G99" t="inlineStr">
        <is>
          <t>STORFORS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7447-2026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46217</v>
      </c>
      <c r="F100" t="inlineStr">
        <is>
          <t>VÄRMLANDS LÄN</t>
        </is>
      </c>
      <c r="G100" t="inlineStr">
        <is>
          <t>STORFORS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46217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46217</v>
      </c>
      <c r="F102" t="inlineStr">
        <is>
          <t>VÄRMLANDS LÄN</t>
        </is>
      </c>
      <c r="G102" t="inlineStr">
        <is>
          <t>STORFORS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46217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46217</v>
      </c>
      <c r="F104" t="inlineStr">
        <is>
          <t>VÄRMLANDS LÄN</t>
        </is>
      </c>
      <c r="G104" t="inlineStr">
        <is>
          <t>STORFORS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46217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29426-2026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46203</v>
      </c>
      <c r="E106" s="1" t="n">
        <v>46217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46217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29444-2026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46217</v>
      </c>
      <c r="F108" t="inlineStr">
        <is>
          <t>VÄRMLANDS LÄN</t>
        </is>
      </c>
      <c r="G108" t="inlineStr">
        <is>
          <t>STORFORS</t>
        </is>
      </c>
      <c r="H108" t="inlineStr">
        <is>
          <t>Naturvårdsverket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29829-2026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46205</v>
      </c>
      <c r="E109" s="1" t="n">
        <v>46217</v>
      </c>
      <c r="F109" t="inlineStr">
        <is>
          <t>VÄRMLANDS LÄN</t>
        </is>
      </c>
      <c r="G109" t="inlineStr">
        <is>
          <t>STORFORS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13185-2026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46217</v>
      </c>
      <c r="F110" t="inlineStr">
        <is>
          <t>VÄRMLANDS LÄN</t>
        </is>
      </c>
      <c r="G110" t="inlineStr">
        <is>
          <t>STORFORS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53202-2023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46217</v>
      </c>
      <c r="F111" t="inlineStr">
        <is>
          <t>VÄRMLANDS LÄN</t>
        </is>
      </c>
      <c r="G111" t="inlineStr">
        <is>
          <t>STORFORS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13960-2026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46217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14435-2026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46217</v>
      </c>
      <c r="F113" t="inlineStr">
        <is>
          <t>VÄRMLANDS LÄN</t>
        </is>
      </c>
      <c r="G113" t="inlineStr">
        <is>
          <t>STORFORS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26201-2024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46217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11290-2025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46217</v>
      </c>
      <c r="F115" t="inlineStr">
        <is>
          <t>VÄRMLANDS LÄN</t>
        </is>
      </c>
      <c r="G115" t="inlineStr">
        <is>
          <t>STORFORS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16421-2026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46217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30425-2026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46209</v>
      </c>
      <c r="E117" s="1" t="n">
        <v>46217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11452-2024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46217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46217</v>
      </c>
      <c r="F119" t="inlineStr">
        <is>
          <t>VÄRMLANDS LÄN</t>
        </is>
      </c>
      <c r="G119" t="inlineStr">
        <is>
          <t>STORFORS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24406-2026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46169</v>
      </c>
      <c r="E120" s="1" t="n">
        <v>46217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28467-2022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44747</v>
      </c>
      <c r="E121" s="1" t="n">
        <v>46217</v>
      </c>
      <c r="F121" t="inlineStr">
        <is>
          <t>VÄRMLANDS LÄN</t>
        </is>
      </c>
      <c r="G121" t="inlineStr">
        <is>
          <t>STORFORS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44969</v>
      </c>
      <c r="E122" s="1" t="n">
        <v>46217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57981-2022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46217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18757-2026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46217</v>
      </c>
      <c r="F124" t="inlineStr">
        <is>
          <t>VÄRMLANDS LÄN</t>
        </is>
      </c>
      <c r="G124" t="inlineStr">
        <is>
          <t>STORFORS</t>
        </is>
      </c>
      <c r="H124" t="inlineStr">
        <is>
          <t>Naturvårdsverket</t>
        </is>
      </c>
      <c r="I124" t="n">
        <v>14.1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24442-2026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46217</v>
      </c>
      <c r="F125" t="inlineStr">
        <is>
          <t>VÄRMLANDS LÄN</t>
        </is>
      </c>
      <c r="G125" t="inlineStr">
        <is>
          <t>STORFORS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24846-2022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44728</v>
      </c>
      <c r="E126" s="1" t="n">
        <v>46217</v>
      </c>
      <c r="F126" t="inlineStr">
        <is>
          <t>VÄRMLANDS LÄN</t>
        </is>
      </c>
      <c r="G126" t="inlineStr">
        <is>
          <t>STORFORS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46217</v>
      </c>
      <c r="F127" t="inlineStr">
        <is>
          <t>VÄRMLANDS LÄN</t>
        </is>
      </c>
      <c r="G127" t="inlineStr">
        <is>
          <t>STORFORS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46217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19324-2022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46217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58125-2022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46217</v>
      </c>
      <c r="F130" t="inlineStr">
        <is>
          <t>VÄRMLANDS LÄN</t>
        </is>
      </c>
      <c r="G130" t="inlineStr">
        <is>
          <t>STORFORS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59449-2022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46217</v>
      </c>
      <c r="F131" t="inlineStr">
        <is>
          <t>VÄRMLANDS LÄN</t>
        </is>
      </c>
      <c r="G131" t="inlineStr">
        <is>
          <t>STORFORS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13636-2024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46217</v>
      </c>
      <c r="F132" t="inlineStr">
        <is>
          <t>VÄRMLANDS LÄN</t>
        </is>
      </c>
      <c r="G132" t="inlineStr">
        <is>
          <t>STORFORS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15152-2022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44658</v>
      </c>
      <c r="E133" s="1" t="n">
        <v>46217</v>
      </c>
      <c r="F133" t="inlineStr">
        <is>
          <t>VÄRMLANDS LÄN</t>
        </is>
      </c>
      <c r="G133" t="inlineStr">
        <is>
          <t>STORFORS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46217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51.6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46217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46217</v>
      </c>
      <c r="F136" t="inlineStr">
        <is>
          <t>VÄRMLANDS LÄN</t>
        </is>
      </c>
      <c r="G136" t="inlineStr">
        <is>
          <t>STORFORS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35370-2023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46217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49596-2024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45596</v>
      </c>
      <c r="E138" s="1" t="n">
        <v>46217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45396</v>
      </c>
      <c r="E139" s="1" t="n">
        <v>46217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45660</v>
      </c>
      <c r="E140" s="1" t="n">
        <v>46217</v>
      </c>
      <c r="F140" t="inlineStr">
        <is>
          <t>VÄRMLANDS LÄN</t>
        </is>
      </c>
      <c r="G140" t="inlineStr">
        <is>
          <t>STORFORS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24820-2025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46217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28255-2025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45818</v>
      </c>
      <c r="E142" s="1" t="n">
        <v>46217</v>
      </c>
      <c r="F142" t="inlineStr">
        <is>
          <t>VÄRMLANDS LÄN</t>
        </is>
      </c>
      <c r="G142" t="inlineStr">
        <is>
          <t>STORFORS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26189-2024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45468</v>
      </c>
      <c r="E143" s="1" t="n">
        <v>46217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8613-2024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46217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S 4139-2023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45247</v>
      </c>
      <c r="E145" s="1" t="n">
        <v>46217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4141-2023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46217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20.6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733-2025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45716</v>
      </c>
      <c r="E147" s="1" t="n">
        <v>46217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98-2026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46036</v>
      </c>
      <c r="E148" s="1" t="n">
        <v>46217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72.5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>
      <c r="A149" t="inlineStr">
        <is>
          <t>S 1683-2026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46182</v>
      </c>
      <c r="E149" s="1" t="n">
        <v>46217</v>
      </c>
      <c r="F149" t="inlineStr">
        <is>
          <t>VÄRMLANDS LÄN</t>
        </is>
      </c>
      <c r="G149" t="inlineStr">
        <is>
          <t>STORFORS</t>
        </is>
      </c>
      <c r="I149" t="n">
        <v>37.1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2026-07-14T09:03:01Z</dcterms:created>
  <dcterms:modified xmlns:dcterms="http://purl.org/dc/terms/" xmlns:xsi="http://www.w3.org/2001/XMLSchema-instance" xsi:type="dcterms:W3CDTF">2026-07-14T09:03:01Z</dcterms:modified>
</cp:coreProperties>
</file>