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46292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46292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39769-2026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46290</v>
      </c>
      <c r="E6" s="1" t="n">
        <v>46292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10.9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Igelkott</t>
        </is>
      </c>
      <c r="W6">
        <f>HYPERLINK("https://klasma.github.io/Logging_1760/artfynd/A 39769-2026 artfynd.xlsx", "A 39769-2026")</f>
        <v/>
      </c>
      <c r="X6">
        <f>HYPERLINK("https://klasma.github.io/Logging_1760/kartor/A 39769-2026 karta.png", "A 39769-2026")</f>
        <v/>
      </c>
      <c r="Y6">
        <f>HYPERLINK("https://klasma.github.io/Logging_1760/kartor_geotiff/A 39769-2026 georefererad karta.tif", "A 39769-2026")</f>
        <v/>
      </c>
      <c r="AA6">
        <f>HYPERLINK("https://klasma.github.io/Logging_1760/klagomål/A 39769-2026 FSC-klagomål.docx", "A 39769-2026")</f>
        <v/>
      </c>
      <c r="AB6">
        <f>HYPERLINK("https://klasma.github.io/Logging_1760/klagomålsmail/A 39769-2026 FSC-klagomål mail.docx", "A 39769-2026")</f>
        <v/>
      </c>
      <c r="AC6">
        <f>HYPERLINK("https://klasma.github.io/Logging_1760/tillsyn/A 39769-2026 tillsynsbegäran.docx", "A 39769-2026")</f>
        <v/>
      </c>
      <c r="AD6">
        <f>HYPERLINK("https://klasma.github.io/Logging_1760/tillsynsmail/A 39769-2026 tillsynsbegäran mail.docx", "A 39769-2026")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46292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46292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44797</v>
      </c>
      <c r="E9" s="1" t="n">
        <v>46292</v>
      </c>
      <c r="F9" t="inlineStr">
        <is>
          <t>VÄRMLANDS LÄN</t>
        </is>
      </c>
      <c r="G9" t="inlineStr">
        <is>
          <t>STORFORS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59084-2021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44490</v>
      </c>
      <c r="E10" s="1" t="n">
        <v>46292</v>
      </c>
      <c r="F10" t="inlineStr">
        <is>
          <t>VÄRMLANDS LÄN</t>
        </is>
      </c>
      <c r="G10" t="inlineStr">
        <is>
          <t>STORFORS</t>
        </is>
      </c>
      <c r="H10" t="inlineStr">
        <is>
          <t>Naturvårdsverket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46292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35084-2022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46292</v>
      </c>
      <c r="F12" t="inlineStr">
        <is>
          <t>VÄRMLANDS LÄN</t>
        </is>
      </c>
      <c r="G12" t="inlineStr">
        <is>
          <t>STORFORS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33307-2022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44788</v>
      </c>
      <c r="E13" s="1" t="n">
        <v>46292</v>
      </c>
      <c r="F13" t="inlineStr">
        <is>
          <t>VÄRMLANDS LÄN</t>
        </is>
      </c>
      <c r="G13" t="inlineStr">
        <is>
          <t>STORFORS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44841</v>
      </c>
      <c r="E14" s="1" t="n">
        <v>46292</v>
      </c>
      <c r="F14" t="inlineStr">
        <is>
          <t>VÄRMLANDS LÄN</t>
        </is>
      </c>
      <c r="G14" t="inlineStr">
        <is>
          <t>STORFORS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64814-2021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46292</v>
      </c>
      <c r="F15" t="inlineStr">
        <is>
          <t>VÄRMLANDS LÄN</t>
        </is>
      </c>
      <c r="G15" t="inlineStr">
        <is>
          <t>STORFORS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44484</v>
      </c>
      <c r="E16" s="1" t="n">
        <v>46292</v>
      </c>
      <c r="F16" t="inlineStr">
        <is>
          <t>VÄRMLANDS LÄN</t>
        </is>
      </c>
      <c r="G16" t="inlineStr">
        <is>
          <t>STORFORS</t>
        </is>
      </c>
      <c r="H16" t="inlineStr">
        <is>
          <t>Naturvårdsverket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46292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46292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46292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46292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14605-2024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45396</v>
      </c>
      <c r="E21" s="1" t="n">
        <v>46292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9.6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46292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45593</v>
      </c>
      <c r="E23" s="1" t="n">
        <v>46292</v>
      </c>
      <c r="F23" t="inlineStr">
        <is>
          <t>VÄRMLANDS LÄN</t>
        </is>
      </c>
      <c r="G23" t="inlineStr">
        <is>
          <t>STORFORS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46292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46292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46292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44178-2025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46292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10.6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46292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9.9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45939</v>
      </c>
      <c r="E29" s="1" t="n">
        <v>46292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46292</v>
      </c>
      <c r="F30" t="inlineStr">
        <is>
          <t>VÄRMLANDS LÄN</t>
        </is>
      </c>
      <c r="G30" t="inlineStr">
        <is>
          <t>STORFORS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45660</v>
      </c>
      <c r="E31" s="1" t="n">
        <v>46292</v>
      </c>
      <c r="F31" t="inlineStr">
        <is>
          <t>VÄRMLANDS LÄN</t>
        </is>
      </c>
      <c r="G31" t="inlineStr">
        <is>
          <t>STORFORS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46292</v>
      </c>
      <c r="F32" t="inlineStr">
        <is>
          <t>VÄRMLANDS LÄN</t>
        </is>
      </c>
      <c r="G32" t="inlineStr">
        <is>
          <t>STORFORS</t>
        </is>
      </c>
      <c r="H32" t="inlineStr">
        <is>
          <t>Kyrkan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46292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45890</v>
      </c>
      <c r="E34" s="1" t="n">
        <v>46292</v>
      </c>
      <c r="F34" t="inlineStr">
        <is>
          <t>VÄRMLANDS LÄN</t>
        </is>
      </c>
      <c r="G34" t="inlineStr">
        <is>
          <t>STORFORS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45453</v>
      </c>
      <c r="E35" s="1" t="n">
        <v>46292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24820-2025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46292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46292</v>
      </c>
      <c r="F37" t="inlineStr">
        <is>
          <t>VÄRMLANDS LÄN</t>
        </is>
      </c>
      <c r="G37" t="inlineStr">
        <is>
          <t>STORFORS</t>
        </is>
      </c>
      <c r="I37" t="n">
        <v>10.8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46292</v>
      </c>
      <c r="F38" t="inlineStr">
        <is>
          <t>VÄRMLANDS LÄN</t>
        </is>
      </c>
      <c r="G38" t="inlineStr">
        <is>
          <t>STORFORS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46292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46292</v>
      </c>
      <c r="F40" t="inlineStr">
        <is>
          <t>VÄRMLANDS LÄN</t>
        </is>
      </c>
      <c r="G40" t="inlineStr">
        <is>
          <t>STORFORS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46292</v>
      </c>
      <c r="F41" t="inlineStr">
        <is>
          <t>VÄRMLANDS LÄN</t>
        </is>
      </c>
      <c r="G41" t="inlineStr">
        <is>
          <t>STORFORS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46292</v>
      </c>
      <c r="F42" t="inlineStr">
        <is>
          <t>VÄRMLANDS LÄN</t>
        </is>
      </c>
      <c r="G42" t="inlineStr">
        <is>
          <t>STORFORS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46292</v>
      </c>
      <c r="F43" t="inlineStr">
        <is>
          <t>VÄRMLANDS LÄN</t>
        </is>
      </c>
      <c r="G43" t="inlineStr">
        <is>
          <t>STORFORS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46292</v>
      </c>
      <c r="F44" t="inlineStr">
        <is>
          <t>VÄRMLANDS LÄN</t>
        </is>
      </c>
      <c r="G44" t="inlineStr">
        <is>
          <t>STORFORS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54190-2023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46292</v>
      </c>
      <c r="F45" t="inlineStr">
        <is>
          <t>VÄRMLANDS LÄN</t>
        </is>
      </c>
      <c r="G45" t="inlineStr">
        <is>
          <t>STORFORS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46292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46292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46292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46098</v>
      </c>
      <c r="E49" s="1" t="n">
        <v>46292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46292</v>
      </c>
      <c r="F50" t="inlineStr">
        <is>
          <t>VÄRMLANDS LÄN</t>
        </is>
      </c>
      <c r="G50" t="inlineStr">
        <is>
          <t>STORFORS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46292</v>
      </c>
      <c r="F51" t="inlineStr">
        <is>
          <t>VÄRMLANDS LÄN</t>
        </is>
      </c>
      <c r="G51" t="inlineStr">
        <is>
          <t>STORFORS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46292</v>
      </c>
      <c r="F52" t="inlineStr">
        <is>
          <t>VÄRMLANDS LÄN</t>
        </is>
      </c>
      <c r="G52" t="inlineStr">
        <is>
          <t>STORFORS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46111</v>
      </c>
      <c r="E53" s="1" t="n">
        <v>46292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45711</v>
      </c>
      <c r="E54" s="1" t="n">
        <v>46292</v>
      </c>
      <c r="F54" t="inlineStr">
        <is>
          <t>VÄRMLANDS LÄN</t>
        </is>
      </c>
      <c r="G54" t="inlineStr">
        <is>
          <t>STORFORS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46292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46292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46292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46292</v>
      </c>
      <c r="F58" t="inlineStr">
        <is>
          <t>VÄRMLANDS LÄN</t>
        </is>
      </c>
      <c r="G58" t="inlineStr">
        <is>
          <t>STORFORS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46292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46292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46292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46292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46292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44930</v>
      </c>
      <c r="E64" s="1" t="n">
        <v>46292</v>
      </c>
      <c r="F64" t="inlineStr">
        <is>
          <t>VÄRMLANDS LÄN</t>
        </is>
      </c>
      <c r="G64" t="inlineStr">
        <is>
          <t>STORFORS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46292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46292</v>
      </c>
      <c r="F66" t="inlineStr">
        <is>
          <t>VÄRMLANDS LÄN</t>
        </is>
      </c>
      <c r="G66" t="inlineStr">
        <is>
          <t>STORFORS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46292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46292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46292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46292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46292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46292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46292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46292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20453-2026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46292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46292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46292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46292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44938</v>
      </c>
      <c r="E79" s="1" t="n">
        <v>46292</v>
      </c>
      <c r="F79" t="inlineStr">
        <is>
          <t>VÄRMLANDS LÄN</t>
        </is>
      </c>
      <c r="G79" t="inlineStr">
        <is>
          <t>STORFORS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46141</v>
      </c>
      <c r="E80" s="1" t="n">
        <v>46292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46292</v>
      </c>
      <c r="F81" t="inlineStr">
        <is>
          <t>VÄRMLANDS LÄN</t>
        </is>
      </c>
      <c r="G81" t="inlineStr">
        <is>
          <t>STORFORS</t>
        </is>
      </c>
      <c r="I81" t="n">
        <v>9.1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46292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46292</v>
      </c>
      <c r="F83" t="inlineStr">
        <is>
          <t>VÄRMLANDS LÄN</t>
        </is>
      </c>
      <c r="G83" t="inlineStr">
        <is>
          <t>STORFORS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45669</v>
      </c>
      <c r="E84" s="1" t="n">
        <v>46292</v>
      </c>
      <c r="F84" t="inlineStr">
        <is>
          <t>VÄRMLANDS LÄN</t>
        </is>
      </c>
      <c r="G84" t="inlineStr">
        <is>
          <t>STORFORS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46292</v>
      </c>
      <c r="F85" t="inlineStr">
        <is>
          <t>VÄRMLANDS LÄN</t>
        </is>
      </c>
      <c r="G85" t="inlineStr">
        <is>
          <t>STORFORS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46292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61586-2025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46002</v>
      </c>
      <c r="E87" s="1" t="n">
        <v>46292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46292</v>
      </c>
      <c r="F88" t="inlineStr">
        <is>
          <t>VÄRMLANDS LÄN</t>
        </is>
      </c>
      <c r="G88" t="inlineStr">
        <is>
          <t>STORFORS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46292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45355</v>
      </c>
      <c r="E90" s="1" t="n">
        <v>46292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24406-2026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46169</v>
      </c>
      <c r="E91" s="1" t="n">
        <v>46292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70761-2021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46292</v>
      </c>
      <c r="F92" t="inlineStr">
        <is>
          <t>VÄRMLANDS LÄN</t>
        </is>
      </c>
      <c r="G92" t="inlineStr">
        <is>
          <t>STORFORS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24442-2026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46292</v>
      </c>
      <c r="F93" t="inlineStr">
        <is>
          <t>VÄRMLANDS LÄN</t>
        </is>
      </c>
      <c r="G93" t="inlineStr">
        <is>
          <t>STORFORS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45840</v>
      </c>
      <c r="E94" s="1" t="n">
        <v>46292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45153</v>
      </c>
      <c r="E95" s="1" t="n">
        <v>46292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46292</v>
      </c>
      <c r="F96" t="inlineStr">
        <is>
          <t>VÄRMLANDS LÄN</t>
        </is>
      </c>
      <c r="G96" t="inlineStr">
        <is>
          <t>STORFORS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45104</v>
      </c>
      <c r="E97" s="1" t="n">
        <v>46292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46292</v>
      </c>
      <c r="F98" t="inlineStr">
        <is>
          <t>VÄRMLANDS LÄN</t>
        </is>
      </c>
      <c r="G98" t="inlineStr">
        <is>
          <t>STORFORS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45635</v>
      </c>
      <c r="E99" s="1" t="n">
        <v>46292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46292</v>
      </c>
      <c r="F100" t="inlineStr">
        <is>
          <t>VÄRMLANDS LÄN</t>
        </is>
      </c>
      <c r="G100" t="inlineStr">
        <is>
          <t>STORFORS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45401</v>
      </c>
      <c r="E101" s="1" t="n">
        <v>46292</v>
      </c>
      <c r="F101" t="inlineStr">
        <is>
          <t>VÄRMLANDS LÄN</t>
        </is>
      </c>
      <c r="G101" t="inlineStr">
        <is>
          <t>STORFORS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46292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46292</v>
      </c>
      <c r="F103" t="inlineStr">
        <is>
          <t>VÄRMLANDS LÄN</t>
        </is>
      </c>
      <c r="G103" t="inlineStr">
        <is>
          <t>STORFORS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46292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46292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46196</v>
      </c>
      <c r="E106" s="1" t="n">
        <v>46292</v>
      </c>
      <c r="F106" t="inlineStr">
        <is>
          <t>VÄRMLANDS LÄN</t>
        </is>
      </c>
      <c r="G106" t="inlineStr">
        <is>
          <t>STORFORS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45681</v>
      </c>
      <c r="E107" s="1" t="n">
        <v>46292</v>
      </c>
      <c r="F107" t="inlineStr">
        <is>
          <t>VÄRMLANDS LÄN</t>
        </is>
      </c>
      <c r="G107" t="inlineStr">
        <is>
          <t>STORFORS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45072</v>
      </c>
      <c r="E108" s="1" t="n">
        <v>46292</v>
      </c>
      <c r="F108" t="inlineStr">
        <is>
          <t>VÄRMLANDS LÄN</t>
        </is>
      </c>
      <c r="G108" t="inlineStr">
        <is>
          <t>STORFORS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45614</v>
      </c>
      <c r="E109" s="1" t="n">
        <v>46292</v>
      </c>
      <c r="F109" t="inlineStr">
        <is>
          <t>VÄRMLANDS LÄN</t>
        </is>
      </c>
      <c r="G109" t="inlineStr">
        <is>
          <t>STORFORS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46292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46292</v>
      </c>
      <c r="F111" t="inlineStr">
        <is>
          <t>VÄRMLANDS LÄN</t>
        </is>
      </c>
      <c r="G111" t="inlineStr">
        <is>
          <t>STORFORS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46292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46292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46292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46292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46292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28979-2026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46199</v>
      </c>
      <c r="E117" s="1" t="n">
        <v>46292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46292</v>
      </c>
      <c r="F118" t="inlineStr">
        <is>
          <t>VÄRMLANDS LÄN</t>
        </is>
      </c>
      <c r="G118" t="inlineStr">
        <is>
          <t>STORFORS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46292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46255</v>
      </c>
      <c r="E120" s="1" t="n">
        <v>46292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46292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46261</v>
      </c>
      <c r="E122" s="1" t="n">
        <v>46292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46292</v>
      </c>
      <c r="F123" t="inlineStr">
        <is>
          <t>VÄRMLANDS LÄN</t>
        </is>
      </c>
      <c r="G123" t="inlineStr">
        <is>
          <t>STORFORS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46292</v>
      </c>
      <c r="F124" t="inlineStr">
        <is>
          <t>VÄRMLANDS LÄN</t>
        </is>
      </c>
      <c r="G124" t="inlineStr">
        <is>
          <t>STORFORS</t>
        </is>
      </c>
      <c r="I124" t="n">
        <v>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46292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46292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46292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46292</v>
      </c>
      <c r="F128" t="inlineStr">
        <is>
          <t>VÄRMLANDS LÄN</t>
        </is>
      </c>
      <c r="G128" t="inlineStr">
        <is>
          <t>STORFORS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46292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46227</v>
      </c>
      <c r="E130" s="1" t="n">
        <v>46292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46268</v>
      </c>
      <c r="E131" s="1" t="n">
        <v>46292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45372</v>
      </c>
      <c r="E132" s="1" t="n">
        <v>46292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46232</v>
      </c>
      <c r="E133" s="1" t="n">
        <v>46292</v>
      </c>
      <c r="F133" t="inlineStr">
        <is>
          <t>VÄRMLANDS LÄN</t>
        </is>
      </c>
      <c r="G133" t="inlineStr">
        <is>
          <t>STORFORS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46292</v>
      </c>
      <c r="F134" t="inlineStr">
        <is>
          <t>VÄRMLANDS LÄN</t>
        </is>
      </c>
      <c r="G134" t="inlineStr">
        <is>
          <t>STORFORS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46292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46292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46281</v>
      </c>
      <c r="E137" s="1" t="n">
        <v>46292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35.1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57981-2022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46292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46292</v>
      </c>
      <c r="F139" t="inlineStr">
        <is>
          <t>VÄRMLANDS LÄN</t>
        </is>
      </c>
      <c r="G139" t="inlineStr">
        <is>
          <t>STORFORS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46292</v>
      </c>
      <c r="F140" t="inlineStr">
        <is>
          <t>VÄRMLANDS LÄN</t>
        </is>
      </c>
      <c r="G140" t="inlineStr">
        <is>
          <t>STORFORS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46292</v>
      </c>
      <c r="F141" t="inlineStr">
        <is>
          <t>VÄRMLANDS LÄN</t>
        </is>
      </c>
      <c r="G141" t="inlineStr">
        <is>
          <t>STORFORS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46292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46289</v>
      </c>
      <c r="E143" s="1" t="n">
        <v>46292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46290</v>
      </c>
      <c r="E144" s="1" t="n">
        <v>46292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46292</v>
      </c>
      <c r="F145" t="inlineStr">
        <is>
          <t>VÄRMLANDS LÄN</t>
        </is>
      </c>
      <c r="G145" t="inlineStr">
        <is>
          <t>STORFORS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46292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46292</v>
      </c>
      <c r="F147" t="inlineStr">
        <is>
          <t>VÄRMLANDS LÄN</t>
        </is>
      </c>
      <c r="G147" t="inlineStr">
        <is>
          <t>STORFORS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58125-2022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44900</v>
      </c>
      <c r="E148" s="1" t="n">
        <v>46292</v>
      </c>
      <c r="F148" t="inlineStr">
        <is>
          <t>VÄRMLANDS LÄN</t>
        </is>
      </c>
      <c r="G148" t="inlineStr">
        <is>
          <t>STORFORS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46292</v>
      </c>
      <c r="F149" t="inlineStr">
        <is>
          <t>VÄRMLANDS LÄN</t>
        </is>
      </c>
      <c r="G149" t="inlineStr">
        <is>
          <t>STORFORS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46292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46292</v>
      </c>
      <c r="F151" t="inlineStr">
        <is>
          <t>VÄRMLANDS LÄN</t>
        </is>
      </c>
      <c r="G151" t="inlineStr">
        <is>
          <t>STORFORS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46292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51.6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46292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46292</v>
      </c>
      <c r="F154" t="inlineStr">
        <is>
          <t>VÄRMLANDS LÄN</t>
        </is>
      </c>
      <c r="G154" t="inlineStr">
        <is>
          <t>STORFORS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46292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46292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4139-2023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45247</v>
      </c>
      <c r="E157" s="1" t="n">
        <v>46292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20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4141-2023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45247</v>
      </c>
      <c r="E158" s="1" t="n">
        <v>46292</v>
      </c>
      <c r="F158" t="inlineStr">
        <is>
          <t>VÄRMLANDS LÄN</t>
        </is>
      </c>
      <c r="G158" t="inlineStr">
        <is>
          <t>STORFORS</t>
        </is>
      </c>
      <c r="H158" t="inlineStr">
        <is>
          <t>Naturvårdsverket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S 733-2025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45716</v>
      </c>
      <c r="E159" s="1" t="n">
        <v>46292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33.7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98-2026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46036</v>
      </c>
      <c r="E160" s="1" t="n">
        <v>46292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72.5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1683-2026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46182</v>
      </c>
      <c r="E161" s="1" t="n">
        <v>46292</v>
      </c>
      <c r="F161" t="inlineStr">
        <is>
          <t>VÄRMLANDS LÄN</t>
        </is>
      </c>
      <c r="G161" t="inlineStr">
        <is>
          <t>STORFORS</t>
        </is>
      </c>
      <c r="I161" t="n">
        <v>37.1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2026-09-27T01:58:25Z</dcterms:created>
  <dcterms:modified xmlns:dcterms="http://purl.org/dc/terms/" xmlns:xsi="http://www.w3.org/2001/XMLSchema-instance" xsi:type="dcterms:W3CDTF">2026-09-27T01:58:25Z</dcterms:modified>
</cp:coreProperties>
</file>