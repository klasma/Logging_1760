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46376-2023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45197</v>
      </c>
      <c r="E4" s="1" t="n">
        <v>46318</v>
      </c>
      <c r="F4" t="inlineStr">
        <is>
          <t>VÄRMLANDS LÄN</t>
        </is>
      </c>
      <c r="G4" t="inlineStr">
        <is>
          <t>STORFORS</t>
        </is>
      </c>
      <c r="I4" t="n">
        <v>0.7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Igelkott</t>
        </is>
      </c>
      <c r="W4">
        <f>HYPERLINK("https://klasma.github.io/Logging_1760/artfynd/A 46376-2023 artfynd.xlsx", "A 46376-2023")</f>
        <v/>
      </c>
      <c r="X4">
        <f>HYPERLINK("https://klasma.github.io/Logging_1760/kartor/A 46376-2023 karta.png", "A 46376-2023")</f>
        <v/>
      </c>
      <c r="Y4">
        <f>HYPERLINK("https://klasma.github.io/Logging_1760/kartor_geotiff/A 46376-2023 georefererad karta.tif", "A 46376-2023")</f>
        <v/>
      </c>
      <c r="AA4">
        <f>HYPERLINK("https://klasma.github.io/Logging_1760/klagomål/A 46376-2023 FSC-klagomål.docx", "A 46376-2023")</f>
        <v/>
      </c>
      <c r="AB4">
        <f>HYPERLINK("https://klasma.github.io/Logging_1760/klagomålsmail/A 46376-2023 FSC-klagomål mail.docx", "A 46376-2023")</f>
        <v/>
      </c>
      <c r="AC4">
        <f>HYPERLINK("https://klasma.github.io/Logging_1760/tillsyn/A 46376-2023 tillsynsbegäran.docx", "A 46376-2023")</f>
        <v/>
      </c>
      <c r="AD4">
        <f>HYPERLINK("https://klasma.github.io/Logging_1760/tillsynsmail/A 46376-2023 tillsynsbegäran mail.docx", "A 46376-2023")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46318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43407-2022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44834</v>
      </c>
      <c r="E6" s="1" t="n">
        <v>46318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7.1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Orre</t>
        </is>
      </c>
      <c r="W6">
        <f>HYPERLINK("https://klasma.github.io/Logging_1760/artfynd/A 43407-2022 artfynd.xlsx", "A 43407-2022")</f>
        <v/>
      </c>
      <c r="X6">
        <f>HYPERLINK("https://klasma.github.io/Logging_1760/kartor/A 43407-2022 karta.png", "A 43407-2022")</f>
        <v/>
      </c>
      <c r="Y6">
        <f>HYPERLINK("https://klasma.github.io/Logging_1760/kartor_geotiff/A 43407-2022 georefererad karta.tif", "A 43407-2022")</f>
        <v/>
      </c>
      <c r="AA6">
        <f>HYPERLINK("https://klasma.github.io/Logging_1760/klagomål/A 43407-2022 FSC-klagomål.docx", "A 43407-2022")</f>
        <v/>
      </c>
      <c r="AB6">
        <f>HYPERLINK("https://klasma.github.io/Logging_1760/klagomålsmail/A 43407-2022 FSC-klagomål mail.docx", "A 43407-2022")</f>
        <v/>
      </c>
      <c r="AC6">
        <f>HYPERLINK("https://klasma.github.io/Logging_1760/tillsyn/A 43407-2022 tillsynsbegäran.docx", "A 43407-2022")</f>
        <v/>
      </c>
      <c r="AD6">
        <f>HYPERLINK("https://klasma.github.io/Logging_1760/tillsynsmail/A 43407-2022 tillsynsbegäran mail.docx", "A 43407-2022")</f>
        <v/>
      </c>
      <c r="AE6">
        <f>HYPERLINK("https://klasma.github.io/Logging_1760/fåglar/A 43407-2022 prioriterade fågelarter.docx", "A 43407-2022")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46318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46318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46318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46318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46318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35084-2022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46318</v>
      </c>
      <c r="F12" t="inlineStr">
        <is>
          <t>VÄRMLANDS LÄN</t>
        </is>
      </c>
      <c r="G12" t="inlineStr">
        <is>
          <t>STORFORS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33307-2022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44788</v>
      </c>
      <c r="E13" s="1" t="n">
        <v>46318</v>
      </c>
      <c r="F13" t="inlineStr">
        <is>
          <t>VÄRMLANDS LÄN</t>
        </is>
      </c>
      <c r="G13" t="inlineStr">
        <is>
          <t>STORFORS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46318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64814-2021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46318</v>
      </c>
      <c r="F15" t="inlineStr">
        <is>
          <t>VÄRMLANDS LÄN</t>
        </is>
      </c>
      <c r="G15" t="inlineStr">
        <is>
          <t>STORFORS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46318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24820-2025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46318</v>
      </c>
      <c r="F17" t="inlineStr">
        <is>
          <t>VÄRMLANDS LÄN</t>
        </is>
      </c>
      <c r="G17" t="inlineStr">
        <is>
          <t>STORFORS</t>
        </is>
      </c>
      <c r="H17" t="inlineStr">
        <is>
          <t>Bergvik skog väst AB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46318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2342-2023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44938</v>
      </c>
      <c r="E19" s="1" t="n">
        <v>46318</v>
      </c>
      <c r="F19" t="inlineStr">
        <is>
          <t>VÄRMLANDS LÄN</t>
        </is>
      </c>
      <c r="G19" t="inlineStr">
        <is>
          <t>STORFORS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44930</v>
      </c>
      <c r="E20" s="1" t="n">
        <v>46318</v>
      </c>
      <c r="F20" t="inlineStr">
        <is>
          <t>VÄRMLANDS LÄN</t>
        </is>
      </c>
      <c r="G20" t="inlineStr">
        <is>
          <t>STORFORS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70761-2021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46318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46318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45818</v>
      </c>
      <c r="E23" s="1" t="n">
        <v>46318</v>
      </c>
      <c r="F23" t="inlineStr">
        <is>
          <t>VÄRMLANDS LÄN</t>
        </is>
      </c>
      <c r="G23" t="inlineStr">
        <is>
          <t>STORFORS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45669</v>
      </c>
      <c r="E24" s="1" t="n">
        <v>46318</v>
      </c>
      <c r="F24" t="inlineStr">
        <is>
          <t>VÄRMLANDS LÄN</t>
        </is>
      </c>
      <c r="G24" t="inlineStr">
        <is>
          <t>STORFORS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46318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46318</v>
      </c>
      <c r="F26" t="inlineStr">
        <is>
          <t>VÄRMLANDS LÄN</t>
        </is>
      </c>
      <c r="G26" t="inlineStr">
        <is>
          <t>STORFORS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26189-2024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46318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45355</v>
      </c>
      <c r="E28" s="1" t="n">
        <v>46318</v>
      </c>
      <c r="F28" t="inlineStr">
        <is>
          <t>VÄRMLANDS LÄN</t>
        </is>
      </c>
      <c r="G28" t="inlineStr">
        <is>
          <t>STORFORS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46318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46318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46318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37145-2025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46318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30587-2023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46318</v>
      </c>
      <c r="F33" t="inlineStr">
        <is>
          <t>VÄRMLANDS LÄN</t>
        </is>
      </c>
      <c r="G33" t="inlineStr">
        <is>
          <t>STORFORS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46318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53388-2024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45614</v>
      </c>
      <c r="E35" s="1" t="n">
        <v>46318</v>
      </c>
      <c r="F35" t="inlineStr">
        <is>
          <t>VÄRMLANDS LÄN</t>
        </is>
      </c>
      <c r="G35" t="inlineStr">
        <is>
          <t>STORFORS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45688</v>
      </c>
      <c r="E36" s="1" t="n">
        <v>46318</v>
      </c>
      <c r="F36" t="inlineStr">
        <is>
          <t>VÄRMLANDS LÄN</t>
        </is>
      </c>
      <c r="G36" t="inlineStr">
        <is>
          <t>STORFORS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45372</v>
      </c>
      <c r="E37" s="1" t="n">
        <v>46318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24846-2022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44728</v>
      </c>
      <c r="E38" s="1" t="n">
        <v>46318</v>
      </c>
      <c r="F38" t="inlineStr">
        <is>
          <t>VÄRMLANDS LÄN</t>
        </is>
      </c>
      <c r="G38" t="inlineStr">
        <is>
          <t>STORFORS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46318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46318</v>
      </c>
      <c r="F40" t="inlineStr">
        <is>
          <t>VÄRMLANDS LÄN</t>
        </is>
      </c>
      <c r="G40" t="inlineStr">
        <is>
          <t>STORFORS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46318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46318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45957</v>
      </c>
      <c r="E43" s="1" t="n">
        <v>46318</v>
      </c>
      <c r="F43" t="inlineStr">
        <is>
          <t>VÄRMLANDS LÄN</t>
        </is>
      </c>
      <c r="G43" t="inlineStr">
        <is>
          <t>STORFORS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20311-2026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46318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45961</v>
      </c>
      <c r="E45" s="1" t="n">
        <v>46318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20453-2026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46318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16.1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46318</v>
      </c>
      <c r="F47" t="inlineStr">
        <is>
          <t>VÄRMLANDS LÄN</t>
        </is>
      </c>
      <c r="G47" t="inlineStr">
        <is>
          <t>STORFORS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20527-2026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46318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46318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46318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46318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20749-2026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46141</v>
      </c>
      <c r="E52" s="1" t="n">
        <v>46318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46318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46140</v>
      </c>
      <c r="E54" s="1" t="n">
        <v>46318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5.9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46318</v>
      </c>
      <c r="F55" t="inlineStr">
        <is>
          <t>VÄRMLANDS LÄN</t>
        </is>
      </c>
      <c r="G55" t="inlineStr">
        <is>
          <t>STORFORS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46318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46318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51.6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45468</v>
      </c>
      <c r="E58" s="1" t="n">
        <v>46318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46146</v>
      </c>
      <c r="E59" s="1" t="n">
        <v>46318</v>
      </c>
      <c r="F59" t="inlineStr">
        <is>
          <t>VÄRMLANDS LÄN</t>
        </is>
      </c>
      <c r="G59" t="inlineStr">
        <is>
          <t>STORFORS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45711</v>
      </c>
      <c r="E60" s="1" t="n">
        <v>46318</v>
      </c>
      <c r="F60" t="inlineStr">
        <is>
          <t>VÄRMLANDS LÄN</t>
        </is>
      </c>
      <c r="G60" t="inlineStr">
        <is>
          <t>STORFORS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46318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46318</v>
      </c>
      <c r="F62" t="inlineStr">
        <is>
          <t>VÄRMLANDS LÄN</t>
        </is>
      </c>
      <c r="G62" t="inlineStr">
        <is>
          <t>STORFORS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46002</v>
      </c>
      <c r="E63" s="1" t="n">
        <v>46318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46318</v>
      </c>
      <c r="F64" t="inlineStr">
        <is>
          <t>VÄRMLANDS LÄN</t>
        </is>
      </c>
      <c r="G64" t="inlineStr">
        <is>
          <t>STORFORS</t>
        </is>
      </c>
      <c r="I64" t="n">
        <v>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45985</v>
      </c>
      <c r="E65" s="1" t="n">
        <v>46318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46318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46318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46318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46318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57792-2022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44897</v>
      </c>
      <c r="E70" s="1" t="n">
        <v>46318</v>
      </c>
      <c r="F70" t="inlineStr">
        <is>
          <t>VÄRMLANDS LÄN</t>
        </is>
      </c>
      <c r="G70" t="inlineStr">
        <is>
          <t>STORFORS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46318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46318</v>
      </c>
      <c r="F72" t="inlineStr">
        <is>
          <t>VÄRMLANDS LÄN</t>
        </is>
      </c>
      <c r="G72" t="inlineStr">
        <is>
          <t>STORFORS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59146-2025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45988</v>
      </c>
      <c r="E73" s="1" t="n">
        <v>46318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9.9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46318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46318</v>
      </c>
      <c r="F75" t="inlineStr">
        <is>
          <t>VÄRMLANDS LÄN</t>
        </is>
      </c>
      <c r="G75" t="inlineStr">
        <is>
          <t>STORFORS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63080-2025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46009</v>
      </c>
      <c r="E76" s="1" t="n">
        <v>46318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44178-2025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45915</v>
      </c>
      <c r="E77" s="1" t="n">
        <v>46318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24406-2026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46169</v>
      </c>
      <c r="E78" s="1" t="n">
        <v>46318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24442-2026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46318</v>
      </c>
      <c r="F79" t="inlineStr">
        <is>
          <t>VÄRMLANDS LÄN</t>
        </is>
      </c>
      <c r="G79" t="inlineStr">
        <is>
          <t>STORFORS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53353-2024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45614</v>
      </c>
      <c r="E80" s="1" t="n">
        <v>46318</v>
      </c>
      <c r="F80" t="inlineStr">
        <is>
          <t>VÄRMLANDS LÄN</t>
        </is>
      </c>
      <c r="G80" t="inlineStr">
        <is>
          <t>STORFORS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46318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46318</v>
      </c>
      <c r="F82" t="inlineStr">
        <is>
          <t>VÄRMLANDS LÄN</t>
        </is>
      </c>
      <c r="G82" t="inlineStr">
        <is>
          <t>STORFORS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46318</v>
      </c>
      <c r="F83" t="inlineStr">
        <is>
          <t>VÄRMLANDS LÄN</t>
        </is>
      </c>
      <c r="G83" t="inlineStr">
        <is>
          <t>STORFORS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46318</v>
      </c>
      <c r="F84" t="inlineStr">
        <is>
          <t>VÄRMLANDS LÄN</t>
        </is>
      </c>
      <c r="G84" t="inlineStr">
        <is>
          <t>STORFORS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45686</v>
      </c>
      <c r="E85" s="1" t="n">
        <v>46318</v>
      </c>
      <c r="F85" t="inlineStr">
        <is>
          <t>VÄRMLANDS LÄN</t>
        </is>
      </c>
      <c r="G85" t="inlineStr">
        <is>
          <t>STORFORS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7028-2026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46318</v>
      </c>
      <c r="F86" t="inlineStr">
        <is>
          <t>VÄRMLANDS LÄN</t>
        </is>
      </c>
      <c r="G86" t="inlineStr">
        <is>
          <t>STORFORS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46318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45146</v>
      </c>
      <c r="E88" s="1" t="n">
        <v>46318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46318</v>
      </c>
      <c r="F89" t="inlineStr">
        <is>
          <t>VÄRMLANDS LÄN</t>
        </is>
      </c>
      <c r="G89" t="inlineStr">
        <is>
          <t>STORFORS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46318</v>
      </c>
      <c r="F90" t="inlineStr">
        <is>
          <t>VÄRMLANDS LÄN</t>
        </is>
      </c>
      <c r="G90" t="inlineStr">
        <is>
          <t>STORFORS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46318</v>
      </c>
      <c r="F91" t="inlineStr">
        <is>
          <t>VÄRMLANDS LÄN</t>
        </is>
      </c>
      <c r="G91" t="inlineStr">
        <is>
          <t>STORFORS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46318</v>
      </c>
      <c r="F92" t="inlineStr">
        <is>
          <t>VÄRMLANDS LÄN</t>
        </is>
      </c>
      <c r="G92" t="inlineStr">
        <is>
          <t>STORFORS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46318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46318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45596</v>
      </c>
      <c r="E95" s="1" t="n">
        <v>46318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46318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45104</v>
      </c>
      <c r="E97" s="1" t="n">
        <v>46318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45396</v>
      </c>
      <c r="E98" s="1" t="n">
        <v>46318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46318</v>
      </c>
      <c r="F99" t="inlineStr">
        <is>
          <t>VÄRMLANDS LÄN</t>
        </is>
      </c>
      <c r="G99" t="inlineStr">
        <is>
          <t>STORFORS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46318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46196</v>
      </c>
      <c r="E101" s="1" t="n">
        <v>46318</v>
      </c>
      <c r="F101" t="inlineStr">
        <is>
          <t>VÄRMLANDS LÄN</t>
        </is>
      </c>
      <c r="G101" t="inlineStr">
        <is>
          <t>STORFORS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36310-2026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46268</v>
      </c>
      <c r="E102" s="1" t="n">
        <v>46318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46318</v>
      </c>
      <c r="F103" t="inlineStr">
        <is>
          <t>VÄRMLANDS LÄN</t>
        </is>
      </c>
      <c r="G103" t="inlineStr">
        <is>
          <t>STORFORS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46268</v>
      </c>
      <c r="E104" s="1" t="n">
        <v>46318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46318</v>
      </c>
      <c r="F105" t="inlineStr">
        <is>
          <t>VÄRMLANDS LÄN</t>
        </is>
      </c>
      <c r="G105" t="inlineStr">
        <is>
          <t>STORFORS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46098</v>
      </c>
      <c r="E106" s="1" t="n">
        <v>46318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46100</v>
      </c>
      <c r="E107" s="1" t="n">
        <v>46318</v>
      </c>
      <c r="F107" t="inlineStr">
        <is>
          <t>VÄRMLANDS LÄN</t>
        </is>
      </c>
      <c r="G107" t="inlineStr">
        <is>
          <t>STORFORS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46318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46318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46318</v>
      </c>
      <c r="F110" t="inlineStr">
        <is>
          <t>VÄRMLANDS LÄN</t>
        </is>
      </c>
      <c r="G110" t="inlineStr">
        <is>
          <t>STORFORS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46318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46317</v>
      </c>
      <c r="E112" s="1" t="n">
        <v>46318</v>
      </c>
      <c r="F112" t="inlineStr">
        <is>
          <t>VÄRMLANDS LÄN</t>
        </is>
      </c>
      <c r="G112" t="inlineStr">
        <is>
          <t>STORFORS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30425-2026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46209</v>
      </c>
      <c r="E113" s="1" t="n">
        <v>46318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46318</v>
      </c>
      <c r="F114" t="inlineStr">
        <is>
          <t>VÄRMLANDS LÄN</t>
        </is>
      </c>
      <c r="G114" t="inlineStr">
        <is>
          <t>STORFORS</t>
        </is>
      </c>
      <c r="H114" t="inlineStr">
        <is>
          <t>Naturvårdsverket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28979-2026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46199</v>
      </c>
      <c r="E115" s="1" t="n">
        <v>46318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31441-2026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46220</v>
      </c>
      <c r="E116" s="1" t="n">
        <v>46318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46318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46318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46227</v>
      </c>
      <c r="E119" s="1" t="n">
        <v>46318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46232</v>
      </c>
      <c r="E120" s="1" t="n">
        <v>46318</v>
      </c>
      <c r="F120" t="inlineStr">
        <is>
          <t>VÄRMLANDS LÄN</t>
        </is>
      </c>
      <c r="G120" t="inlineStr">
        <is>
          <t>STORFORS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45153</v>
      </c>
      <c r="E121" s="1" t="n">
        <v>46318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15442-2024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46318</v>
      </c>
      <c r="F122" t="inlineStr">
        <is>
          <t>VÄRMLANDS LÄN</t>
        </is>
      </c>
      <c r="G122" t="inlineStr">
        <is>
          <t>STORFORS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46318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35.1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46318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46318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46318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46318</v>
      </c>
      <c r="F127" t="inlineStr">
        <is>
          <t>VÄRMLANDS LÄN</t>
        </is>
      </c>
      <c r="G127" t="inlineStr">
        <is>
          <t>STORFORS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44969</v>
      </c>
      <c r="E128" s="1" t="n">
        <v>46318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46289</v>
      </c>
      <c r="E129" s="1" t="n">
        <v>46318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46318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46280</v>
      </c>
      <c r="E131" s="1" t="n">
        <v>46318</v>
      </c>
      <c r="F131" t="inlineStr">
        <is>
          <t>VÄRMLANDS LÄN</t>
        </is>
      </c>
      <c r="G131" t="inlineStr">
        <is>
          <t>STORFORS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46293</v>
      </c>
      <c r="E132" s="1" t="n">
        <v>46318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12.5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46293</v>
      </c>
      <c r="E133" s="1" t="n">
        <v>46318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46290</v>
      </c>
      <c r="E134" s="1" t="n">
        <v>46318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19.5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46293</v>
      </c>
      <c r="E135" s="1" t="n">
        <v>46318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46293</v>
      </c>
      <c r="E136" s="1" t="n">
        <v>46318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46318</v>
      </c>
      <c r="F137" t="inlineStr">
        <is>
          <t>VÄRMLANDS LÄN</t>
        </is>
      </c>
      <c r="G137" t="inlineStr">
        <is>
          <t>STORFORS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46318</v>
      </c>
      <c r="F138" t="inlineStr">
        <is>
          <t>VÄRMLANDS LÄN</t>
        </is>
      </c>
      <c r="G138" t="inlineStr">
        <is>
          <t>STORFORS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46318</v>
      </c>
      <c r="F139" t="inlineStr">
        <is>
          <t>VÄRMLANDS LÄN</t>
        </is>
      </c>
      <c r="G139" t="inlineStr">
        <is>
          <t>STORFORS</t>
        </is>
      </c>
      <c r="H139" t="inlineStr">
        <is>
          <t>Naturvårdsverket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46318</v>
      </c>
      <c r="F140" t="inlineStr">
        <is>
          <t>VÄRMLANDS LÄN</t>
        </is>
      </c>
      <c r="G140" t="inlineStr">
        <is>
          <t>STORFORS</t>
        </is>
      </c>
      <c r="H140" t="inlineStr">
        <is>
          <t>Naturvårdsverket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46318</v>
      </c>
      <c r="F141" t="inlineStr">
        <is>
          <t>VÄRMLANDS LÄN</t>
        </is>
      </c>
      <c r="G141" t="inlineStr">
        <is>
          <t>STORFORS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46318</v>
      </c>
      <c r="F142" t="inlineStr">
        <is>
          <t>VÄRMLANDS LÄN</t>
        </is>
      </c>
      <c r="G142" t="inlineStr">
        <is>
          <t>STORFORS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46255</v>
      </c>
      <c r="E143" s="1" t="n">
        <v>46318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46300</v>
      </c>
      <c r="E144" s="1" t="n">
        <v>46318</v>
      </c>
      <c r="F144" t="inlineStr">
        <is>
          <t>VÄRMLANDS LÄN</t>
        </is>
      </c>
      <c r="G144" t="inlineStr">
        <is>
          <t>STORFORS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46318</v>
      </c>
      <c r="F145" t="inlineStr">
        <is>
          <t>VÄRMLANDS LÄN</t>
        </is>
      </c>
      <c r="G145" t="inlineStr">
        <is>
          <t>STORFORS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46318</v>
      </c>
      <c r="F146" t="inlineStr">
        <is>
          <t>VÄRMLANDS LÄN</t>
        </is>
      </c>
      <c r="G146" t="inlineStr">
        <is>
          <t>STORFORS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46318</v>
      </c>
      <c r="F147" t="inlineStr">
        <is>
          <t>VÄRMLANDS LÄN</t>
        </is>
      </c>
      <c r="G147" t="inlineStr">
        <is>
          <t>STORFORS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45520</v>
      </c>
      <c r="E148" s="1" t="n">
        <v>46318</v>
      </c>
      <c r="F148" t="inlineStr">
        <is>
          <t>VÄRMLANDS LÄN</t>
        </is>
      </c>
      <c r="G148" t="inlineStr">
        <is>
          <t>STORFORS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47713-2024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45588</v>
      </c>
      <c r="E149" s="1" t="n">
        <v>46318</v>
      </c>
      <c r="F149" t="inlineStr">
        <is>
          <t>VÄRMLANDS LÄN</t>
        </is>
      </c>
      <c r="G149" t="inlineStr">
        <is>
          <t>STORFORS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46318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46261</v>
      </c>
      <c r="E151" s="1" t="n">
        <v>46318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46304</v>
      </c>
      <c r="E152" s="1" t="n">
        <v>46318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46318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45068</v>
      </c>
      <c r="E154" s="1" t="n">
        <v>46318</v>
      </c>
      <c r="F154" t="inlineStr">
        <is>
          <t>VÄRMLANDS LÄN</t>
        </is>
      </c>
      <c r="G154" t="inlineStr">
        <is>
          <t>STORFORS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46318</v>
      </c>
      <c r="F155" t="inlineStr">
        <is>
          <t>VÄRMLANDS LÄN</t>
        </is>
      </c>
      <c r="G155" t="inlineStr">
        <is>
          <t>STORFORS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46318</v>
      </c>
      <c r="F156" t="inlineStr">
        <is>
          <t>VÄRMLANDS LÄN</t>
        </is>
      </c>
      <c r="G156" t="inlineStr">
        <is>
          <t>STORFORS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46318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46318</v>
      </c>
      <c r="F158" t="inlineStr">
        <is>
          <t>VÄRMLANDS LÄN</t>
        </is>
      </c>
      <c r="G158" t="inlineStr">
        <is>
          <t>STORFORS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53202-2023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45229</v>
      </c>
      <c r="E159" s="1" t="n">
        <v>46318</v>
      </c>
      <c r="F159" t="inlineStr">
        <is>
          <t>VÄRMLANDS LÄN</t>
        </is>
      </c>
      <c r="G159" t="inlineStr">
        <is>
          <t>STORFORS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46318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46318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46318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46318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46318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46318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2026-10-23T02:01:18Z</dcterms:created>
  <dcterms:modified xmlns:dcterms="http://purl.org/dc/terms/" xmlns:xsi="http://www.w3.org/2001/XMLSchema-instance" xsi:type="dcterms:W3CDTF">2026-10-23T02:01:18Z</dcterms:modified>
</cp:coreProperties>
</file>